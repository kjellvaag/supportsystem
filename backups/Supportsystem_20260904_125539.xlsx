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aker" sheetId="2" state="visible" r:id="rId2"/>
    <sheet name="Søk" sheetId="3" state="visible" r:id="rId3"/>
    <sheet name="Kunnskapsbase" sheetId="4" state="visible" r:id="rId4"/>
    <sheet name="Oppsett" sheetId="5" state="visible" r:id="rId5"/>
    <sheet name="Instruksjoner" sheetId="6" state="visible" r:id="rId6"/>
  </sheets>
  <definedNames>
    <definedName name="Ansatte">Oppsett!$A$4:$A$9</definedName>
    <definedName name="Kategorier">Oppsett!$E$4:$E$11</definedName>
    <definedName name="Prioriteter">Oppsett!$H$4:$H$7</definedName>
    <definedName name="Statuser">Oppsett!$L$4:$L$9</definedName>
    <definedName name="Kanaler">Oppsett!$N$4:$N$8</definedName>
  </definedNames>
  <calcPr calcId="124519" fullCalcOnLoad="1" iterate="1" iterateCount="100" iterateDelta="0.0001"/>
</workbook>
</file>

<file path=xl/styles.xml><?xml version="1.0" encoding="utf-8"?>
<styleSheet xmlns="http://schemas.openxmlformats.org/spreadsheetml/2006/main">
  <numFmts count="3">
    <numFmt numFmtId="164" formatCode="DD.MM.YYYY HH:MM"/>
    <numFmt numFmtId="165" formatCode="0.0"/>
    <numFmt numFmtId="166" formatCode="DD.MM.YYYY"/>
  </numFmts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808080"/>
    </font>
    <font>
      <b val="1"/>
      <color rgb="00FFFFFF"/>
    </font>
    <font>
      <b val="1"/>
      <color rgb="001F4E79"/>
      <sz val="12"/>
    </font>
    <font>
      <b val="1"/>
      <color rgb="001F4E79"/>
      <sz val="2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0" fillId="3" borderId="1" pivotButton="0" quotePrefix="0" xfId="0"/>
    <xf numFmtId="166" fontId="0" fillId="0" borderId="0" pivotButton="0" quotePrefix="0" xfId="0"/>
    <xf numFmtId="0" fontId="3" fillId="2" borderId="1" pivotButton="0" quotePrefix="0" xfId="0"/>
  </cellXfs>
  <cellStyles count="1">
    <cellStyle name="Normal" xfId="0" builtinId="0" hidden="0"/>
  </cellStyles>
  <dxfs count="6">
    <dxf>
      <font>
        <color rgb="00006100"/>
      </font>
      <fill>
        <patternFill patternType="solid">
          <fgColor rgb="00C6EFCE"/>
        </patternFill>
      </fill>
    </dxf>
    <dxf>
      <fill>
        <patternFill patternType="solid">
          <fgColor rgb="00D9D9D9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color rgb="00974706"/>
      </font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Saker per status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'Dashboard'!$A$9:$A$14</f>
            </numRef>
          </cat>
          <val>
            <numRef>
              <f>'Dashboard'!$B$9:$B$14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Saker per kategori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cat>
            <numRef>
              <f>'Dashboard'!$D$9:$D$16</f>
            </numRef>
          </cat>
          <val>
            <numRef>
              <f>'Dashboard'!$E$9:$E$16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Saker per ansvarlig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cat>
            <numRef>
              <f>'Dashboard'!$G$9:$G$14</f>
            </numRef>
          </cat>
          <val>
            <numRef>
              <f>'Dashboard'!$H$9:$H$14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7</row>
      <rowOff>0</rowOff>
    </from>
    <ext cx="46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27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27</row>
      <rowOff>0</rowOff>
    </from>
    <ext cx="54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Saker" displayName="tblSaker" ref="A1:W501" headerRowCount="1">
  <autoFilter ref="A1:W501"/>
  <tableColumns count="23">
    <tableColumn id="1" name="Saksnr"/>
    <tableColumn id="2" name="Opprettet"/>
    <tableColumn id="3" name="Innmelder"/>
    <tableColumn id="4" name="E-post"/>
    <tableColumn id="5" name="Kanal"/>
    <tableColumn id="6" name="Kategori"/>
    <tableColumn id="7" name="Prioritet"/>
    <tableColumn id="8" name="Tittel"/>
    <tableColumn id="9" name="Beskrivelse"/>
    <tableColumn id="10" name="Auto-ansvarlig"/>
    <tableColumn id="11" name="Tildelt til"/>
    <tableColumn id="12" name="Ansvarlig"/>
    <tableColumn id="13" name="Status"/>
    <tableColumn id="14" name="SLA start frist"/>
    <tableColumn id="15" name="SLA løsning frist"/>
    <tableColumn id="16" name="Påbegynt"/>
    <tableColumn id="17" name="Løst"/>
    <tableColumn id="18" name="SLA start"/>
    <tableColumn id="19" name="SLA løsning"/>
    <tableColumn id="20" name="Løsningstid timer"/>
    <tableColumn id="21" name="Løsning"/>
    <tableColumn id="22" name="KB-ref"/>
    <tableColumn id="23" name="Til KB"/>
  </tableColumns>
  <tableStyleInfo name="TableStyleMedium9" showRowStripes="1"/>
</table>
</file>

<file path=xl/tables/table2.xml><?xml version="1.0" encoding="utf-8"?>
<table xmlns="http://schemas.openxmlformats.org/spreadsheetml/2006/main" id="2" name="tblKB" displayName="tblKB" ref="A1:K301" headerRowCount="1">
  <autoFilter ref="A1:K301"/>
  <tableColumns count="11">
    <tableColumn id="1" name="KB-ID"/>
    <tableColumn id="2" name="Tittel"/>
    <tableColumn id="3" name="Kategori"/>
    <tableColumn id="4" name="Problem"/>
    <tableColumn id="5" name="Løsning"/>
    <tableColumn id="6" name="Nøkkelord"/>
    <tableColumn id="7" name="Opprettet av"/>
    <tableColumn id="8" name="Dato"/>
    <tableColumn id="9" name="Antall bruk"/>
    <tableColumn id="10" name="Vurdering"/>
    <tableColumn id="11" name="Basert på sak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L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2" customWidth="1" min="4" max="4"/>
    <col width="22" customWidth="1" min="5" max="5"/>
    <col width="12" customWidth="1" min="6" max="6"/>
    <col width="22" customWidth="1" min="7" max="7"/>
    <col width="12" customWidth="1" min="8" max="8"/>
    <col width="24" customWidth="1" min="9" max="9"/>
    <col width="12" customWidth="1" min="10" max="10"/>
    <col width="14" customWidth="1" min="11" max="11"/>
    <col width="12" customWidth="1" min="12" max="12"/>
  </cols>
  <sheetData>
    <row r="1">
      <c r="A1" s="1" t="inlineStr">
        <is>
          <t>DASHBOARD – Driftsstøtte</t>
        </is>
      </c>
    </row>
    <row r="2">
      <c r="A2" s="2" t="inlineStr">
        <is>
          <t>Alle tall og diagrammer oppdateres automatisk ut fra arkfanen Saker.</t>
        </is>
      </c>
    </row>
    <row r="4">
      <c r="A4" s="3" t="inlineStr">
        <is>
          <t>Åpne saker</t>
        </is>
      </c>
      <c r="B4" s="4" t="n"/>
      <c r="C4" s="3" t="inlineStr">
        <is>
          <t>Forfalte løsningsfrister</t>
        </is>
      </c>
      <c r="D4" s="4" t="n"/>
      <c r="E4" s="3" t="inlineStr">
        <is>
          <t>Forfalte startfrister</t>
        </is>
      </c>
      <c r="F4" s="4" t="n"/>
      <c r="G4" s="3" t="inlineStr">
        <is>
          <t>Løst denne måneden</t>
        </is>
      </c>
      <c r="H4" s="4" t="n"/>
      <c r="I4" s="3" t="inlineStr">
        <is>
          <t>Snitt løsningstid (timer)</t>
        </is>
      </c>
      <c r="J4" s="4" t="n"/>
      <c r="K4" s="3" t="inlineStr">
        <is>
          <t>KB-artikler</t>
        </is>
      </c>
      <c r="L4" s="4" t="n"/>
    </row>
    <row r="5">
      <c r="A5" s="5">
        <f>COUNTIFS(tblSaker[Opprettet],"&lt;&gt;",tblSaker[Status],"&lt;&gt;Løst",tblSaker[Status],"&lt;&gt;Lukket")</f>
        <v/>
      </c>
      <c r="C5" s="5">
        <f>COUNTIFS(tblSaker[SLA løsning],"FORFALT")</f>
        <v/>
      </c>
      <c r="E5" s="5">
        <f>COUNTIFS(tblSaker[SLA start],"FORFALT")</f>
        <v/>
      </c>
      <c r="G5" s="5">
        <f>COUNTIFS(tblSaker[Løst],"&gt;="&amp;DATE(YEAR(TODAY()),MONTH(TODAY()),1))</f>
        <v/>
      </c>
      <c r="I5" s="5">
        <f>IFERROR(ROUND(AVERAGE(tblSaker[Løsningstid timer]),1),"-")</f>
        <v/>
      </c>
      <c r="K5" s="5">
        <f>COUNTA(tblKB[Tittel])</f>
        <v/>
      </c>
    </row>
    <row r="8">
      <c r="A8" s="6" t="inlineStr">
        <is>
          <t>Saker per status</t>
        </is>
      </c>
      <c r="D8" s="6" t="inlineStr">
        <is>
          <t>Saker per kategori</t>
        </is>
      </c>
      <c r="G8" s="6" t="inlineStr">
        <is>
          <t>Saker per ansvarlig</t>
        </is>
      </c>
    </row>
    <row r="9">
      <c r="A9" s="7" t="inlineStr">
        <is>
          <t>Ny</t>
        </is>
      </c>
      <c r="B9" s="7">
        <f>COUNTIFS(tblSaker[Status],$A9)</f>
        <v/>
      </c>
      <c r="D9" s="7" t="inlineStr">
        <is>
          <t>Nettverk</t>
        </is>
      </c>
      <c r="E9" s="7">
        <f>COUNTIFS(tblSaker[Kategori],$D9)</f>
        <v/>
      </c>
      <c r="G9" s="7" t="inlineStr">
        <is>
          <t>Ola Nordmann</t>
        </is>
      </c>
      <c r="H9" s="7">
        <f>COUNTIFS(tblSaker[Ansvarlig],$G9)</f>
        <v/>
      </c>
    </row>
    <row r="10">
      <c r="A10" s="7" t="inlineStr">
        <is>
          <t>Under behandling</t>
        </is>
      </c>
      <c r="B10" s="7">
        <f>COUNTIFS(tblSaker[Status],$A10)</f>
        <v/>
      </c>
      <c r="D10" s="7" t="inlineStr">
        <is>
          <t>Passord og tilgang</t>
        </is>
      </c>
      <c r="E10" s="7">
        <f>COUNTIFS(tblSaker[Kategori],$D10)</f>
        <v/>
      </c>
      <c r="G10" s="7" t="inlineStr">
        <is>
          <t>Kari Hansen</t>
        </is>
      </c>
      <c r="H10" s="7">
        <f>COUNTIFS(tblSaker[Ansvarlig],$G10)</f>
        <v/>
      </c>
    </row>
    <row r="11">
      <c r="A11" s="7" t="inlineStr">
        <is>
          <t>Venter på bruker</t>
        </is>
      </c>
      <c r="B11" s="7">
        <f>COUNTIFS(tblSaker[Status],$A11)</f>
        <v/>
      </c>
      <c r="D11" s="7" t="inlineStr">
        <is>
          <t>E-post og kalender</t>
        </is>
      </c>
      <c r="E11" s="7">
        <f>COUNTIFS(tblSaker[Kategori],$D11)</f>
        <v/>
      </c>
      <c r="G11" s="7" t="inlineStr">
        <is>
          <t>Per Olsen</t>
        </is>
      </c>
      <c r="H11" s="7">
        <f>COUNTIFS(tblSaker[Ansvarlig],$G11)</f>
        <v/>
      </c>
    </row>
    <row r="12">
      <c r="A12" s="7" t="inlineStr">
        <is>
          <t>Venter på leverandør</t>
        </is>
      </c>
      <c r="B12" s="7">
        <f>COUNTIFS(tblSaker[Status],$A12)</f>
        <v/>
      </c>
      <c r="D12" s="7" t="inlineStr">
        <is>
          <t>Maskinvare</t>
        </is>
      </c>
      <c r="E12" s="7">
        <f>COUNTIFS(tblSaker[Kategori],$D12)</f>
        <v/>
      </c>
      <c r="G12" s="7" t="inlineStr">
        <is>
          <t>Anne Berg</t>
        </is>
      </c>
      <c r="H12" s="7">
        <f>COUNTIFS(tblSaker[Ansvarlig],$G12)</f>
        <v/>
      </c>
    </row>
    <row r="13">
      <c r="A13" s="7" t="inlineStr">
        <is>
          <t>Løst</t>
        </is>
      </c>
      <c r="B13" s="7">
        <f>COUNTIFS(tblSaker[Status],$A13)</f>
        <v/>
      </c>
      <c r="D13" s="7" t="inlineStr">
        <is>
          <t>Programvare</t>
        </is>
      </c>
      <c r="E13" s="7">
        <f>COUNTIFS(tblSaker[Kategori],$D13)</f>
        <v/>
      </c>
      <c r="G13" s="7" t="inlineStr">
        <is>
          <t>Erik Dahl</t>
        </is>
      </c>
      <c r="H13" s="7">
        <f>COUNTIFS(tblSaker[Ansvarlig],$G13)</f>
        <v/>
      </c>
    </row>
    <row r="14">
      <c r="A14" s="7" t="inlineStr">
        <is>
          <t>Lukket</t>
        </is>
      </c>
      <c r="B14" s="7">
        <f>COUNTIFS(tblSaker[Status],$A14)</f>
        <v/>
      </c>
      <c r="D14" s="7" t="inlineStr">
        <is>
          <t>Skriver og utskrift</t>
        </is>
      </c>
      <c r="E14" s="7">
        <f>COUNTIFS(tblSaker[Kategori],$D14)</f>
        <v/>
      </c>
      <c r="G14" s="7" t="inlineStr">
        <is>
          <t>Mona Lie</t>
        </is>
      </c>
      <c r="H14" s="7">
        <f>COUNTIFS(tblSaker[Ansvarlig],$G14)</f>
        <v/>
      </c>
    </row>
    <row r="15">
      <c r="D15" s="7" t="inlineStr">
        <is>
          <t>Mobil og telefoni</t>
        </is>
      </c>
      <c r="E15" s="7">
        <f>COUNTIFS(tblSaker[Kategori],$D15)</f>
        <v/>
      </c>
    </row>
    <row r="16">
      <c r="D16" s="7" t="inlineStr">
        <is>
          <t>Annet</t>
        </is>
      </c>
      <c r="E16" s="7">
        <f>COUNTIFS(tblSaker[Kategori],$D16)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W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8" customWidth="1" min="3" max="3"/>
    <col width="24" customWidth="1" min="4" max="4"/>
    <col width="17" customWidth="1" min="5" max="5"/>
    <col width="20" customWidth="1" min="6" max="6"/>
    <col width="10" customWidth="1" min="7" max="7"/>
    <col width="30" customWidth="1" min="8" max="8"/>
    <col width="42" customWidth="1" min="9" max="9"/>
    <col width="16" customWidth="1" min="10" max="10"/>
    <col width="15" customWidth="1" min="11" max="11"/>
    <col width="15" customWidth="1" min="12" max="12"/>
    <col width="19" customWidth="1" min="13" max="13"/>
    <col width="17" customWidth="1" min="14" max="14"/>
    <col width="17" customWidth="1" min="15" max="15"/>
    <col width="17" customWidth="1" min="16" max="16"/>
    <col width="17" customWidth="1" min="17" max="17"/>
    <col width="16" customWidth="1" min="18" max="18"/>
    <col width="15" customWidth="1" min="19" max="19"/>
    <col width="12" customWidth="1" min="20" max="20"/>
    <col width="46" customWidth="1" min="21" max="21"/>
    <col width="9" customWidth="1" min="22" max="22"/>
    <col width="8" customWidth="1" min="23" max="23"/>
  </cols>
  <sheetData>
    <row r="1">
      <c r="A1" t="inlineStr">
        <is>
          <t>Saksnr</t>
        </is>
      </c>
      <c r="B1" t="inlineStr">
        <is>
          <t>Opprettet</t>
        </is>
      </c>
      <c r="C1" t="inlineStr">
        <is>
          <t>Innmelder</t>
        </is>
      </c>
      <c r="D1" t="inlineStr">
        <is>
          <t>E-post</t>
        </is>
      </c>
      <c r="E1" t="inlineStr">
        <is>
          <t>Kanal</t>
        </is>
      </c>
      <c r="F1" t="inlineStr">
        <is>
          <t>Kategori</t>
        </is>
      </c>
      <c r="G1" t="inlineStr">
        <is>
          <t>Prioritet</t>
        </is>
      </c>
      <c r="H1" t="inlineStr">
        <is>
          <t>Tittel</t>
        </is>
      </c>
      <c r="I1" t="inlineStr">
        <is>
          <t>Beskrivelse</t>
        </is>
      </c>
      <c r="J1" t="inlineStr">
        <is>
          <t>Auto-ansvarlig</t>
        </is>
      </c>
      <c r="K1" t="inlineStr">
        <is>
          <t>Tildelt til</t>
        </is>
      </c>
      <c r="L1" t="inlineStr">
        <is>
          <t>Ansvarlig</t>
        </is>
      </c>
      <c r="M1" t="inlineStr">
        <is>
          <t>Status</t>
        </is>
      </c>
      <c r="N1" t="inlineStr">
        <is>
          <t>SLA start frist</t>
        </is>
      </c>
      <c r="O1" t="inlineStr">
        <is>
          <t>SLA løsning frist</t>
        </is>
      </c>
      <c r="P1" t="inlineStr">
        <is>
          <t>Påbegynt</t>
        </is>
      </c>
      <c r="Q1" t="inlineStr">
        <is>
          <t>Løst</t>
        </is>
      </c>
      <c r="R1" t="inlineStr">
        <is>
          <t>SLA start</t>
        </is>
      </c>
      <c r="S1" t="inlineStr">
        <is>
          <t>SLA løsning</t>
        </is>
      </c>
      <c r="T1" t="inlineStr">
        <is>
          <t>Løsningstid timer</t>
        </is>
      </c>
      <c r="U1" t="inlineStr">
        <is>
          <t>Løsning</t>
        </is>
      </c>
      <c r="V1" t="inlineStr">
        <is>
          <t>KB-ref</t>
        </is>
      </c>
      <c r="W1" t="inlineStr">
        <is>
          <t>Til KB</t>
        </is>
      </c>
    </row>
    <row r="2" ht="42" customHeight="1">
      <c r="A2">
        <f>IF($B2="","","SAK-"&amp;TEXT(ROW()-1,"0000"))</f>
        <v/>
      </c>
      <c r="B2" s="8" t="n">
        <v>46266.38541666666</v>
      </c>
      <c r="C2" t="inlineStr">
        <is>
          <t>Morten Vik</t>
        </is>
      </c>
      <c r="D2" t="inlineStr">
        <is>
          <t>morten.vik@firma.no</t>
        </is>
      </c>
      <c r="E2" t="inlineStr">
        <is>
          <t>Telefon</t>
        </is>
      </c>
      <c r="F2" t="inlineStr">
        <is>
          <t>Nettverk</t>
        </is>
      </c>
      <c r="G2" t="inlineStr">
        <is>
          <t>Høy</t>
        </is>
      </c>
      <c r="H2" s="9" t="inlineStr">
        <is>
          <t>Wi-Fi nede i møterom 2</t>
        </is>
      </c>
      <c r="I2" s="9" t="inlineStr">
        <is>
          <t>Ingen kan koble til trådløsnettet i møterom 2. Accesspunktet blinker rødt.</t>
        </is>
      </c>
      <c r="J2">
        <f>IF($F2="","",IFERROR(VLOOKUP($F2,Oppsett!$E$4:$F$11,2,FALSE),"– ikke tildelt –"))</f>
        <v/>
      </c>
      <c r="L2">
        <f>IF($B2="","",IF($K2&lt;&gt;"",$K2,$J2))</f>
        <v/>
      </c>
      <c r="M2" t="inlineStr">
        <is>
          <t>Løst</t>
        </is>
      </c>
      <c r="N2" s="8">
        <f>IF(OR($B2="",$G2=""),"",$B2+VLOOKUP($G2,Oppsett!$H$4:$J$7,2,FALSE)/24)</f>
        <v/>
      </c>
      <c r="O2" s="8">
        <f>IF(OR($B2="",$G2=""),"",$B2+VLOOKUP($G2,Oppsett!$H$4:$J$7,3,FALSE)/24)</f>
        <v/>
      </c>
      <c r="P2" s="8" t="n">
        <v>46266.40277777778</v>
      </c>
      <c r="Q2" s="8" t="n">
        <v>46266.4375</v>
      </c>
      <c r="R2">
        <f>IF($B2="","",IF($P2&lt;&gt;"",IF($P2&lt;=$N2,"OK","Påbegynt for sent"),IF(NOW()&gt;$N2,"FORFALT","Innen frist")))</f>
        <v/>
      </c>
      <c r="S2">
        <f>IF($B2="","",IF($Q2&lt;&gt;"",IF($Q2&lt;=$O2,"OK","Løst for sent"),IF(NOW()&gt;$O2,"FORFALT","Innen frist")))</f>
        <v/>
      </c>
      <c r="T2" s="10">
        <f>IF(OR($B2="",$Q2=""),"",ROUND(($Q2-$B2)*24,1))</f>
        <v/>
      </c>
      <c r="U2" s="9" t="inlineStr">
        <is>
          <t>Restartet accesspunktet og oppdaterte firmware. Nettet er oppe igjen. Se KB-001.</t>
        </is>
      </c>
      <c r="V2" t="inlineStr">
        <is>
          <t>KB-001</t>
        </is>
      </c>
      <c r="W2" t="inlineStr">
        <is>
          <t>Nei</t>
        </is>
      </c>
    </row>
    <row r="3" ht="42" customHeight="1">
      <c r="A3">
        <f>IF($B3="","","SAK-"&amp;TEXT(ROW()-1,"0000"))</f>
        <v/>
      </c>
      <c r="B3" s="8" t="n">
        <v>46266.42013888889</v>
      </c>
      <c r="C3" t="inlineStr">
        <is>
          <t>Silje Aas</t>
        </is>
      </c>
      <c r="D3" t="inlineStr">
        <is>
          <t>silje.aas@firma.no</t>
        </is>
      </c>
      <c r="E3" t="inlineStr">
        <is>
          <t>E-post</t>
        </is>
      </c>
      <c r="F3" t="inlineStr">
        <is>
          <t>Passord og tilgang</t>
        </is>
      </c>
      <c r="G3" t="inlineStr">
        <is>
          <t>Medium</t>
        </is>
      </c>
      <c r="H3" s="9" t="inlineStr">
        <is>
          <t>Glemt VPN-passord</t>
        </is>
      </c>
      <c r="I3" s="9" t="inlineStr">
        <is>
          <t>Bruker har glemt VPN-passordet og er låst ute av hjemmekontor.</t>
        </is>
      </c>
      <c r="J3">
        <f>IF($F3="","",IFERROR(VLOOKUP($F3,Oppsett!$E$4:$F$11,2,FALSE),"– ikke tildelt –"))</f>
        <v/>
      </c>
      <c r="L3">
        <f>IF($B3="","",IF($K3&lt;&gt;"",$K3,$J3))</f>
        <v/>
      </c>
      <c r="M3" t="inlineStr">
        <is>
          <t>Løst</t>
        </is>
      </c>
      <c r="N3" s="8">
        <f>IF(OR($B3="",$G3=""),"",$B3+VLOOKUP($G3,Oppsett!$H$4:$J$7,2,FALSE)/24)</f>
        <v/>
      </c>
      <c r="O3" s="8">
        <f>IF(OR($B3="",$G3=""),"",$B3+VLOOKUP($G3,Oppsett!$H$4:$J$7,3,FALSE)/24)</f>
        <v/>
      </c>
      <c r="P3" s="8" t="n">
        <v>46266.43055555555</v>
      </c>
      <c r="Q3" s="8" t="n">
        <v>46266.44097222222</v>
      </c>
      <c r="R3">
        <f>IF($B3="","",IF($P3&lt;&gt;"",IF($P3&lt;=$N3,"OK","Påbegynt for sent"),IF(NOW()&gt;$N3,"FORFALT","Innen frist")))</f>
        <v/>
      </c>
      <c r="S3">
        <f>IF($B3="","",IF($Q3&lt;&gt;"",IF($Q3&lt;=$O3,"OK","Løst for sent"),IF(NOW()&gt;$O3,"FORFALT","Innen frist")))</f>
        <v/>
      </c>
      <c r="T3" s="10">
        <f>IF(OR($B3="",$Q3=""),"",ROUND(($Q3-$B3)*24,1))</f>
        <v/>
      </c>
      <c r="U3" s="9" t="inlineStr">
        <is>
          <t>Tilbakestilte passord i AD og huket av for endring ved neste pålogging. Se KB-002.</t>
        </is>
      </c>
      <c r="V3" t="inlineStr">
        <is>
          <t>KB-002</t>
        </is>
      </c>
      <c r="W3" t="inlineStr">
        <is>
          <t>Nei</t>
        </is>
      </c>
    </row>
    <row r="4" ht="42" customHeight="1">
      <c r="A4">
        <f>IF($B4="","","SAK-"&amp;TEXT(ROW()-1,"0000"))</f>
        <v/>
      </c>
      <c r="B4" s="8" t="n">
        <v>46267.36805555555</v>
      </c>
      <c r="C4" t="inlineStr">
        <is>
          <t>Jonas Bakke</t>
        </is>
      </c>
      <c r="D4" t="inlineStr">
        <is>
          <t>jonas.bakke@firma.no</t>
        </is>
      </c>
      <c r="E4" t="inlineStr">
        <is>
          <t>E-post</t>
        </is>
      </c>
      <c r="F4" t="inlineStr">
        <is>
          <t>E-post og kalender</t>
        </is>
      </c>
      <c r="G4" t="inlineStr">
        <is>
          <t>Høy</t>
        </is>
      </c>
      <c r="H4" s="9" t="inlineStr">
        <is>
          <t>Outlook starter ikke</t>
        </is>
      </c>
      <c r="I4" s="9" t="inlineStr">
        <is>
          <t>Outlook krasjer ved oppstart etter nattens oppdatering.</t>
        </is>
      </c>
      <c r="J4">
        <f>IF($F4="","",IFERROR(VLOOKUP($F4,Oppsett!$E$4:$F$11,2,FALSE),"– ikke tildelt –"))</f>
        <v/>
      </c>
      <c r="L4">
        <f>IF($B4="","",IF($K4&lt;&gt;"",$K4,$J4))</f>
        <v/>
      </c>
      <c r="M4" t="inlineStr">
        <is>
          <t>Under behandling</t>
        </is>
      </c>
      <c r="N4" s="8">
        <f>IF(OR($B4="",$G4=""),"",$B4+VLOOKUP($G4,Oppsett!$H$4:$J$7,2,FALSE)/24)</f>
        <v/>
      </c>
      <c r="O4" s="8">
        <f>IF(OR($B4="",$G4=""),"",$B4+VLOOKUP($G4,Oppsett!$H$4:$J$7,3,FALSE)/24)</f>
        <v/>
      </c>
      <c r="P4" s="8" t="n">
        <v>46267.39583333334</v>
      </c>
      <c r="Q4" s="8" t="n"/>
      <c r="R4">
        <f>IF($B4="","",IF($P4&lt;&gt;"",IF($P4&lt;=$N4,"OK","Påbegynt for sent"),IF(NOW()&gt;$N4,"FORFALT","Innen frist")))</f>
        <v/>
      </c>
      <c r="S4">
        <f>IF($B4="","",IF($Q4&lt;&gt;"",IF($Q4&lt;=$O4,"OK","Løst for sent"),IF(NOW()&gt;$O4,"FORFALT","Innen frist")))</f>
        <v/>
      </c>
      <c r="T4" s="10">
        <f>IF(OR($B4="",$Q4=""),"",ROUND(($Q4-$B4)*24,1))</f>
        <v/>
      </c>
      <c r="U4" s="9" t="inlineStr">
        <is>
          <t>Tester i sikker modus og oppretter ny profil. Se KB-004.</t>
        </is>
      </c>
    </row>
    <row r="5" ht="42" customHeight="1">
      <c r="A5">
        <f>IF($B5="","","SAK-"&amp;TEXT(ROW()-1,"0000"))</f>
        <v/>
      </c>
      <c r="B5" s="8" t="n">
        <v>46267.45833333334</v>
      </c>
      <c r="C5" t="inlineStr">
        <is>
          <t>Tone Lie (HR)</t>
        </is>
      </c>
      <c r="D5" t="inlineStr">
        <is>
          <t>tone.lie@firma.no</t>
        </is>
      </c>
      <c r="E5" t="inlineStr">
        <is>
          <t>E-post</t>
        </is>
      </c>
      <c r="F5" t="inlineStr">
        <is>
          <t>Maskinvare</t>
        </is>
      </c>
      <c r="G5" t="inlineStr">
        <is>
          <t>Lav</t>
        </is>
      </c>
      <c r="H5" s="9" t="inlineStr">
        <is>
          <t>Ny PC til nyansatt</t>
        </is>
      </c>
      <c r="I5" s="9" t="inlineStr">
        <is>
          <t>Nyansatt starter 15.09. Trenger laptop med standard programvareinstallasjon.</t>
        </is>
      </c>
      <c r="J5">
        <f>IF($F5="","",IFERROR(VLOOKUP($F5,Oppsett!$E$4:$F$11,2,FALSE),"– ikke tildelt –"))</f>
        <v/>
      </c>
      <c r="L5">
        <f>IF($B5="","",IF($K5&lt;&gt;"",$K5,$J5))</f>
        <v/>
      </c>
      <c r="M5" t="inlineStr">
        <is>
          <t>Ny</t>
        </is>
      </c>
      <c r="N5" s="8">
        <f>IF(OR($B5="",$G5=""),"",$B5+VLOOKUP($G5,Oppsett!$H$4:$J$7,2,FALSE)/24)</f>
        <v/>
      </c>
      <c r="O5" s="8">
        <f>IF(OR($B5="",$G5=""),"",$B5+VLOOKUP($G5,Oppsett!$H$4:$J$7,3,FALSE)/24)</f>
        <v/>
      </c>
      <c r="P5" s="8" t="n"/>
      <c r="Q5" s="8" t="n"/>
      <c r="R5">
        <f>IF($B5="","",IF($P5&lt;&gt;"",IF($P5&lt;=$N5,"OK","Påbegynt for sent"),IF(NOW()&gt;$N5,"FORFALT","Innen frist")))</f>
        <v/>
      </c>
      <c r="S5">
        <f>IF($B5="","",IF($Q5&lt;&gt;"",IF($Q5&lt;=$O5,"OK","Løst for sent"),IF(NOW()&gt;$O5,"FORFALT","Innen frist")))</f>
        <v/>
      </c>
      <c r="T5" s="10">
        <f>IF(OR($B5="",$Q5=""),"",ROUND(($Q5-$B5)*24,1))</f>
        <v/>
      </c>
      <c r="U5" s="9" t="inlineStr"/>
    </row>
    <row r="6" ht="42" customHeight="1">
      <c r="A6">
        <f>IF($B6="","","SAK-"&amp;TEXT(ROW()-1,"0000"))</f>
        <v/>
      </c>
      <c r="B6" s="8" t="n">
        <v>46267.55555555555</v>
      </c>
      <c r="C6" t="inlineStr">
        <is>
          <t>Kontoret 3. etg</t>
        </is>
      </c>
      <c r="D6" t="inlineStr">
        <is>
          <t>kontor3@firma.no</t>
        </is>
      </c>
      <c r="E6" t="inlineStr">
        <is>
          <t>Personlig oppmøte</t>
        </is>
      </c>
      <c r="F6" t="inlineStr">
        <is>
          <t>Skriver og utskrift</t>
        </is>
      </c>
      <c r="G6" t="inlineStr">
        <is>
          <t>Medium</t>
        </is>
      </c>
      <c r="H6" s="9" t="inlineStr">
        <is>
          <t>Papirstopp hele tiden</t>
        </is>
      </c>
      <c r="I6" s="9" t="inlineStr">
        <is>
          <t>Skriveren i 3. etasje kjører fast papir ved dobbeltsidig utskrift.</t>
        </is>
      </c>
      <c r="J6">
        <f>IF($F6="","",IFERROR(VLOOKUP($F6,Oppsett!$E$4:$F$11,2,FALSE),"– ikke tildelt –"))</f>
        <v/>
      </c>
      <c r="L6">
        <f>IF($B6="","",IF($K6&lt;&gt;"",$K6,$J6))</f>
        <v/>
      </c>
      <c r="M6" t="inlineStr">
        <is>
          <t>Løst</t>
        </is>
      </c>
      <c r="N6" s="8">
        <f>IF(OR($B6="",$G6=""),"",$B6+VLOOKUP($G6,Oppsett!$H$4:$J$7,2,FALSE)/24)</f>
        <v/>
      </c>
      <c r="O6" s="8">
        <f>IF(OR($B6="",$G6=""),"",$B6+VLOOKUP($G6,Oppsett!$H$4:$J$7,3,FALSE)/24)</f>
        <v/>
      </c>
      <c r="P6" s="8" t="n">
        <v>46267.58333333334</v>
      </c>
      <c r="Q6" s="8" t="n">
        <v>46267.61458333334</v>
      </c>
      <c r="R6">
        <f>IF($B6="","",IF($P6&lt;&gt;"",IF($P6&lt;=$N6,"OK","Påbegynt for sent"),IF(NOW()&gt;$N6,"FORFALT","Innen frist")))</f>
        <v/>
      </c>
      <c r="S6">
        <f>IF($B6="","",IF($Q6&lt;&gt;"",IF($Q6&lt;=$O6,"OK","Løst for sent"),IF(NOW()&gt;$O6,"FORFALT","Innen frist")))</f>
        <v/>
      </c>
      <c r="T6" s="10">
        <f>IF(OR($B6="",$Q6=""),"",ROUND(($Q6-$B6)*24,1))</f>
        <v/>
      </c>
      <c r="U6" s="9" t="inlineStr">
        <is>
          <t>Renset valsene og byttet til riktig papirtype. Se KB-003.</t>
        </is>
      </c>
      <c r="V6" t="inlineStr">
        <is>
          <t>KB-003</t>
        </is>
      </c>
      <c r="W6" t="inlineStr">
        <is>
          <t>Nei</t>
        </is>
      </c>
    </row>
    <row r="7" ht="42" customHeight="1">
      <c r="A7">
        <f>IF($B7="","","SAK-"&amp;TEXT(ROW()-1,"0000"))</f>
        <v/>
      </c>
      <c r="B7" s="8" t="n">
        <v>46268.33333333334</v>
      </c>
      <c r="C7" t="inlineStr">
        <is>
          <t>Ingrid Mo</t>
        </is>
      </c>
      <c r="D7" t="inlineStr">
        <is>
          <t>ingrid.mo@firma.no</t>
        </is>
      </c>
      <c r="E7" t="inlineStr">
        <is>
          <t>Chat</t>
        </is>
      </c>
      <c r="F7" t="inlineStr">
        <is>
          <t>Programvare</t>
        </is>
      </c>
      <c r="G7" t="inlineStr">
        <is>
          <t>Kritisk</t>
        </is>
      </c>
      <c r="H7" s="9" t="inlineStr">
        <is>
          <t>Teams krasjer i videomøter</t>
        </is>
      </c>
      <c r="I7" s="9" t="inlineStr">
        <is>
          <t>Teams krasjer ved videosamtaler for flere brukere etter siste oppdatering.</t>
        </is>
      </c>
      <c r="J7">
        <f>IF($F7="","",IFERROR(VLOOKUP($F7,Oppsett!$E$4:$F$11,2,FALSE),"– ikke tildelt –"))</f>
        <v/>
      </c>
      <c r="L7">
        <f>IF($B7="","",IF($K7&lt;&gt;"",$K7,$J7))</f>
        <v/>
      </c>
      <c r="M7" t="inlineStr">
        <is>
          <t>Under behandling</t>
        </is>
      </c>
      <c r="N7" s="8">
        <f>IF(OR($B7="",$G7=""),"",$B7+VLOOKUP($G7,Oppsett!$H$4:$J$7,2,FALSE)/24)</f>
        <v/>
      </c>
      <c r="O7" s="8">
        <f>IF(OR($B7="",$G7=""),"",$B7+VLOOKUP($G7,Oppsett!$H$4:$J$7,3,FALSE)/24)</f>
        <v/>
      </c>
      <c r="P7" s="8" t="n">
        <v>46268.34722222222</v>
      </c>
      <c r="Q7" s="8" t="n"/>
      <c r="R7">
        <f>IF($B7="","",IF($P7&lt;&gt;"",IF($P7&lt;=$N7,"OK","Påbegynt for sent"),IF(NOW()&gt;$N7,"FORFALT","Innen frist")))</f>
        <v/>
      </c>
      <c r="S7">
        <f>IF($B7="","",IF($Q7&lt;&gt;"",IF($Q7&lt;=$O7,"OK","Løst for sent"),IF(NOW()&gt;$O7,"FORFALT","Innen frist")))</f>
        <v/>
      </c>
      <c r="T7" s="10">
        <f>IF(OR($B7="",$Q7=""),"",ROUND(($Q7-$B7)*24,1))</f>
        <v/>
      </c>
      <c r="U7" s="9" t="inlineStr">
        <is>
          <t>Oppdaterer grafikkdriver og Teams på testmaskin. Følger opp iht. KB-006.</t>
        </is>
      </c>
      <c r="V7" t="inlineStr">
        <is>
          <t>KB-006</t>
        </is>
      </c>
    </row>
    <row r="8" ht="42" customHeight="1">
      <c r="A8">
        <f>IF($B8="","","SAK-"&amp;TEXT(ROW()-1,"0000"))</f>
        <v/>
      </c>
      <c r="B8" s="8" t="n">
        <v>46268.40625</v>
      </c>
      <c r="C8" t="inlineStr">
        <is>
          <t>Roar Eggen</t>
        </is>
      </c>
      <c r="D8" t="inlineStr">
        <is>
          <t>roar.eggen@firma.no</t>
        </is>
      </c>
      <c r="E8" t="inlineStr">
        <is>
          <t>Telefon</t>
        </is>
      </c>
      <c r="F8" t="inlineStr">
        <is>
          <t>Mobil og telefoni</t>
        </is>
      </c>
      <c r="G8" t="inlineStr">
        <is>
          <t>Medium</t>
        </is>
      </c>
      <c r="H8" s="9" t="inlineStr">
        <is>
          <t>iPhone synkroniserer ikke e-post</t>
        </is>
      </c>
      <c r="I8" s="9" t="inlineStr">
        <is>
          <t>E-post sluttet å synkronisere etter passordbytte i går.</t>
        </is>
      </c>
      <c r="J8">
        <f>IF($F8="","",IFERROR(VLOOKUP($F8,Oppsett!$E$4:$F$11,2,FALSE),"– ikke tildelt –"))</f>
        <v/>
      </c>
      <c r="L8">
        <f>IF($B8="","",IF($K8&lt;&gt;"",$K8,$J8))</f>
        <v/>
      </c>
      <c r="M8" t="inlineStr">
        <is>
          <t>Venter på bruker</t>
        </is>
      </c>
      <c r="N8" s="8">
        <f>IF(OR($B8="",$G8=""),"",$B8+VLOOKUP($G8,Oppsett!$H$4:$J$7,2,FALSE)/24)</f>
        <v/>
      </c>
      <c r="O8" s="8">
        <f>IF(OR($B8="",$G8=""),"",$B8+VLOOKUP($G8,Oppsett!$H$4:$J$7,3,FALSE)/24)</f>
        <v/>
      </c>
      <c r="P8" s="8" t="n">
        <v>46268.41666666666</v>
      </c>
      <c r="Q8" s="8" t="n"/>
      <c r="R8">
        <f>IF($B8="","",IF($P8&lt;&gt;"",IF($P8&lt;=$N8,"OK","Påbegynt for sent"),IF(NOW()&gt;$N8,"FORFALT","Innen frist")))</f>
        <v/>
      </c>
      <c r="S8">
        <f>IF($B8="","",IF($Q8&lt;&gt;"",IF($Q8&lt;=$O8,"OK","Løst for sent"),IF(NOW()&gt;$O8,"FORFALT","Innen frist")))</f>
        <v/>
      </c>
      <c r="T8" s="10">
        <f>IF(OR($B8="",$Q8=""),"",ROUND(($Q8-$B8)*24,1))</f>
        <v/>
      </c>
      <c r="U8" s="9" t="inlineStr">
        <is>
          <t>Bruker er bedt om å fjerne og legge til e-postkontoen på nytt. Venter på tilbakemelding.</t>
        </is>
      </c>
    </row>
    <row r="9" ht="42" customHeight="1">
      <c r="A9">
        <f>IF($B9="","","SAK-"&amp;TEXT(ROW()-1,"0000"))</f>
        <v/>
      </c>
      <c r="B9" s="8" t="n">
        <v>46268.52083333334</v>
      </c>
      <c r="C9" t="inlineStr">
        <is>
          <t>Linda Foss</t>
        </is>
      </c>
      <c r="D9" t="inlineStr">
        <is>
          <t>linda.foss@firma.no</t>
        </is>
      </c>
      <c r="E9" t="inlineStr">
        <is>
          <t>E-post</t>
        </is>
      </c>
      <c r="F9" t="inlineStr">
        <is>
          <t>Passord og tilgang</t>
        </is>
      </c>
      <c r="G9" t="inlineStr">
        <is>
          <t>Høy</t>
        </is>
      </c>
      <c r="H9" s="9" t="inlineStr">
        <is>
          <t>Trenger tilgang til fellesmappe</t>
        </is>
      </c>
      <c r="I9" s="9" t="inlineStr">
        <is>
          <t>Ny i teamet og mangler tilgang til fellesområdet på serveren.</t>
        </is>
      </c>
      <c r="J9">
        <f>IF($F9="","",IFERROR(VLOOKUP($F9,Oppsett!$E$4:$F$11,2,FALSE),"– ikke tildelt –"))</f>
        <v/>
      </c>
      <c r="L9">
        <f>IF($B9="","",IF($K9&lt;&gt;"",$K9,$J9))</f>
        <v/>
      </c>
      <c r="M9" t="inlineStr">
        <is>
          <t>Løst</t>
        </is>
      </c>
      <c r="N9" s="8">
        <f>IF(OR($B9="",$G9=""),"",$B9+VLOOKUP($G9,Oppsett!$H$4:$J$7,2,FALSE)/24)</f>
        <v/>
      </c>
      <c r="O9" s="8">
        <f>IF(OR($B9="",$G9=""),"",$B9+VLOOKUP($G9,Oppsett!$H$4:$J$7,3,FALSE)/24)</f>
        <v/>
      </c>
      <c r="P9" s="8" t="n">
        <v>46268.54166666666</v>
      </c>
      <c r="Q9" s="8" t="n">
        <v>46268.63194444445</v>
      </c>
      <c r="R9">
        <f>IF($B9="","",IF($P9&lt;&gt;"",IF($P9&lt;=$N9,"OK","Påbegynt for sent"),IF(NOW()&gt;$N9,"FORFALT","Innen frist")))</f>
        <v/>
      </c>
      <c r="S9">
        <f>IF($B9="","",IF($Q9&lt;&gt;"",IF($Q9&lt;=$O9,"OK","Løst for sent"),IF(NOW()&gt;$O9,"FORFALT","Innen frist")))</f>
        <v/>
      </c>
      <c r="T9" s="10">
        <f>IF(OR($B9="",$Q9=""),"",ROUND(($Q9-$B9)*24,1))</f>
        <v/>
      </c>
      <c r="U9" s="9" t="inlineStr">
        <is>
          <t>Fikk godkjenning fra leder og la bruker inn i riktig AD-gruppe. Se KB-005.</t>
        </is>
      </c>
      <c r="V9" t="inlineStr">
        <is>
          <t>KB-005</t>
        </is>
      </c>
      <c r="W9" t="inlineStr">
        <is>
          <t>Nei</t>
        </is>
      </c>
    </row>
    <row r="10" ht="42" customHeight="1">
      <c r="A10">
        <f>IF($B10="","","SAK-"&amp;TEXT(ROW()-1,"0000"))</f>
        <v/>
      </c>
      <c r="B10" s="8" t="n">
        <v>46269.34027777778</v>
      </c>
      <c r="C10" t="inlineStr">
        <is>
          <t>Ottar Viken</t>
        </is>
      </c>
      <c r="D10" t="inlineStr">
        <is>
          <t>ottar.viken@firma.no</t>
        </is>
      </c>
      <c r="E10" t="inlineStr">
        <is>
          <t>Selvbetjening</t>
        </is>
      </c>
      <c r="F10" t="inlineStr">
        <is>
          <t>Programvare</t>
        </is>
      </c>
      <c r="G10" t="inlineStr">
        <is>
          <t>Lav</t>
        </is>
      </c>
      <c r="H10" s="9" t="inlineStr">
        <is>
          <t>Hjelp til Excel-formel</t>
        </is>
      </c>
      <c r="I10" s="9" t="inlineStr">
        <is>
          <t>Trenger hjelp med FINN.RAD i budsjettarket.</t>
        </is>
      </c>
      <c r="J10">
        <f>IF($F10="","",IFERROR(VLOOKUP($F10,Oppsett!$E$4:$F$11,2,FALSE),"– ikke tildelt –"))</f>
        <v/>
      </c>
      <c r="L10">
        <f>IF($B10="","",IF($K10&lt;&gt;"",$K10,$J10))</f>
        <v/>
      </c>
      <c r="M10" t="inlineStr">
        <is>
          <t>Løst</t>
        </is>
      </c>
      <c r="N10" s="8">
        <f>IF(OR($B10="",$G10=""),"",$B10+VLOOKUP($G10,Oppsett!$H$4:$J$7,2,FALSE)/24)</f>
        <v/>
      </c>
      <c r="O10" s="8">
        <f>IF(OR($B10="",$G10=""),"",$B10+VLOOKUP($G10,Oppsett!$H$4:$J$7,3,FALSE)/24)</f>
        <v/>
      </c>
      <c r="P10" s="8" t="n">
        <v>46269.35416666666</v>
      </c>
      <c r="Q10" s="8" t="n">
        <v>46269.375</v>
      </c>
      <c r="R10">
        <f>IF($B10="","",IF($P10&lt;&gt;"",IF($P10&lt;=$N10,"OK","Påbegynt for sent"),IF(NOW()&gt;$N10,"FORFALT","Innen frist")))</f>
        <v/>
      </c>
      <c r="S10">
        <f>IF($B10="","",IF($Q10&lt;&gt;"",IF($Q10&lt;=$O10,"OK","Løst for sent"),IF(NOW()&gt;$O10,"FORFALT","Innen frist")))</f>
        <v/>
      </c>
      <c r="T10" s="10">
        <f>IF(OR($B10="",$Q10=""),"",ROUND(($Q10-$B10)*24,1))</f>
        <v/>
      </c>
      <c r="U10" s="9" t="inlineStr">
        <is>
          <t>Viste brukeren FINN.RAD og XLOOKUP med et konkret eksempel.</t>
        </is>
      </c>
      <c r="W10" t="inlineStr">
        <is>
          <t>Ja</t>
        </is>
      </c>
    </row>
    <row r="11" ht="42" customHeight="1">
      <c r="A11">
        <f>IF($B11="","","SAK-"&amp;TEXT(ROW()-1,"0000"))</f>
        <v/>
      </c>
      <c r="B11" s="8" t="n">
        <v>46269.37847222222</v>
      </c>
      <c r="C11" t="inlineStr">
        <is>
          <t>Vaktmester Per</t>
        </is>
      </c>
      <c r="D11" t="inlineStr">
        <is>
          <t>per.vakt@firma.no</t>
        </is>
      </c>
      <c r="E11" t="inlineStr">
        <is>
          <t>Telefon</t>
        </is>
      </c>
      <c r="F11" t="inlineStr">
        <is>
          <t>Nettverk</t>
        </is>
      </c>
      <c r="G11" t="inlineStr">
        <is>
          <t>Medium</t>
        </is>
      </c>
      <c r="H11" s="9" t="inlineStr">
        <is>
          <t>Ødelagt nettverkskabel i 3. etg</t>
        </is>
      </c>
      <c r="I11" s="9" t="inlineStr">
        <is>
          <t>Kabel er kuttet ved renovering. To brukere er uten kablet nett.</t>
        </is>
      </c>
      <c r="J11">
        <f>IF($F11="","",IFERROR(VLOOKUP($F11,Oppsett!$E$4:$F$11,2,FALSE),"– ikke tildelt –"))</f>
        <v/>
      </c>
      <c r="L11">
        <f>IF($B11="","",IF($K11&lt;&gt;"",$K11,$J11))</f>
        <v/>
      </c>
      <c r="M11" t="inlineStr">
        <is>
          <t>Ny</t>
        </is>
      </c>
      <c r="N11" s="8">
        <f>IF(OR($B11="",$G11=""),"",$B11+VLOOKUP($G11,Oppsett!$H$4:$J$7,2,FALSE)/24)</f>
        <v/>
      </c>
      <c r="O11" s="8">
        <f>IF(OR($B11="",$G11=""),"",$B11+VLOOKUP($G11,Oppsett!$H$4:$J$7,3,FALSE)/24)</f>
        <v/>
      </c>
      <c r="P11" s="8" t="n"/>
      <c r="Q11" s="8" t="n"/>
      <c r="R11">
        <f>IF($B11="","",IF($P11&lt;&gt;"",IF($P11&lt;=$N11,"OK","Påbegynt for sent"),IF(NOW()&gt;$N11,"FORFALT","Innen frist")))</f>
        <v/>
      </c>
      <c r="S11">
        <f>IF($B11="","",IF($Q11&lt;&gt;"",IF($Q11&lt;=$O11,"OK","Løst for sent"),IF(NOW()&gt;$O11,"FORFALT","Innen frist")))</f>
        <v/>
      </c>
      <c r="T11" s="10">
        <f>IF(OR($B11="",$Q11=""),"",ROUND(($Q11-$B11)*24,1))</f>
        <v/>
      </c>
      <c r="U11" s="9" t="inlineStr"/>
    </row>
    <row r="12">
      <c r="A12">
        <f>IF($B12="","","SAK-"&amp;TEXT(ROW()-1,"0000"))</f>
        <v/>
      </c>
      <c r="B12" s="8">
        <f>IF($C12&amp;$H12="","",IF($B12="",NOW(),$B12))</f>
        <v/>
      </c>
      <c r="J12">
        <f>IF($F12="","",IFERROR(VLOOKUP($F12,Oppsett!$E$4:$F$11,2,FALSE),"– ikke tildelt –"))</f>
        <v/>
      </c>
      <c r="L12">
        <f>IF($B12="","",IF($K12&lt;&gt;"",$K12,$J12))</f>
        <v/>
      </c>
      <c r="N12" s="8">
        <f>IF(OR($B12="",$G12=""),"",$B12+VLOOKUP($G12,Oppsett!$H$4:$J$7,2,FALSE)/24)</f>
        <v/>
      </c>
      <c r="O12" s="8">
        <f>IF(OR($B12="",$G12=""),"",$B12+VLOOKUP($G12,Oppsett!$H$4:$J$7,3,FALSE)/24)</f>
        <v/>
      </c>
      <c r="P12" s="8" t="n"/>
      <c r="Q12" s="8" t="n"/>
      <c r="R12">
        <f>IF($B12="","",IF($P12&lt;&gt;"",IF($P12&lt;=$N12,"OK","Påbegynt for sent"),IF(NOW()&gt;$N12,"FORFALT","Innen frist")))</f>
        <v/>
      </c>
      <c r="S12">
        <f>IF($B12="","",IF($Q12&lt;&gt;"",IF($Q12&lt;=$O12,"OK","Løst for sent"),IF(NOW()&gt;$O12,"FORFALT","Innen frist")))</f>
        <v/>
      </c>
      <c r="T12" s="10">
        <f>IF(OR($B12="",$Q12=""),"",ROUND(($Q12-$B12)*24,1))</f>
        <v/>
      </c>
    </row>
    <row r="13">
      <c r="A13">
        <f>IF($B13="","","SAK-"&amp;TEXT(ROW()-1,"0000"))</f>
        <v/>
      </c>
      <c r="B13" s="8">
        <f>IF($C13&amp;$H13="","",IF($B13="",NOW(),$B13))</f>
        <v/>
      </c>
      <c r="J13">
        <f>IF($F13="","",IFERROR(VLOOKUP($F13,Oppsett!$E$4:$F$11,2,FALSE),"– ikke tildelt –"))</f>
        <v/>
      </c>
      <c r="L13">
        <f>IF($B13="","",IF($K13&lt;&gt;"",$K13,$J13))</f>
        <v/>
      </c>
      <c r="N13" s="8">
        <f>IF(OR($B13="",$G13=""),"",$B13+VLOOKUP($G13,Oppsett!$H$4:$J$7,2,FALSE)/24)</f>
        <v/>
      </c>
      <c r="O13" s="8">
        <f>IF(OR($B13="",$G13=""),"",$B13+VLOOKUP($G13,Oppsett!$H$4:$J$7,3,FALSE)/24)</f>
        <v/>
      </c>
      <c r="P13" s="8" t="n"/>
      <c r="Q13" s="8" t="n"/>
      <c r="R13">
        <f>IF($B13="","",IF($P13&lt;&gt;"",IF($P13&lt;=$N13,"OK","Påbegynt for sent"),IF(NOW()&gt;$N13,"FORFALT","Innen frist")))</f>
        <v/>
      </c>
      <c r="S13">
        <f>IF($B13="","",IF($Q13&lt;&gt;"",IF($Q13&lt;=$O13,"OK","Løst for sent"),IF(NOW()&gt;$O13,"FORFALT","Innen frist")))</f>
        <v/>
      </c>
      <c r="T13" s="10">
        <f>IF(OR($B13="",$Q13=""),"",ROUND(($Q13-$B13)*24,1))</f>
        <v/>
      </c>
    </row>
    <row r="14">
      <c r="A14">
        <f>IF($B14="","","SAK-"&amp;TEXT(ROW()-1,"0000"))</f>
        <v/>
      </c>
      <c r="B14" s="8">
        <f>IF($C14&amp;$H14="","",IF($B14="",NOW(),$B14))</f>
        <v/>
      </c>
      <c r="J14">
        <f>IF($F14="","",IFERROR(VLOOKUP($F14,Oppsett!$E$4:$F$11,2,FALSE),"– ikke tildelt –"))</f>
        <v/>
      </c>
      <c r="L14">
        <f>IF($B14="","",IF($K14&lt;&gt;"",$K14,$J14))</f>
        <v/>
      </c>
      <c r="N14" s="8">
        <f>IF(OR($B14="",$G14=""),"",$B14+VLOOKUP($G14,Oppsett!$H$4:$J$7,2,FALSE)/24)</f>
        <v/>
      </c>
      <c r="O14" s="8">
        <f>IF(OR($B14="",$G14=""),"",$B14+VLOOKUP($G14,Oppsett!$H$4:$J$7,3,FALSE)/24)</f>
        <v/>
      </c>
      <c r="P14" s="8" t="n"/>
      <c r="Q14" s="8" t="n"/>
      <c r="R14">
        <f>IF($B14="","",IF($P14&lt;&gt;"",IF($P14&lt;=$N14,"OK","Påbegynt for sent"),IF(NOW()&gt;$N14,"FORFALT","Innen frist")))</f>
        <v/>
      </c>
      <c r="S14">
        <f>IF($B14="","",IF($Q14&lt;&gt;"",IF($Q14&lt;=$O14,"OK","Løst for sent"),IF(NOW()&gt;$O14,"FORFALT","Innen frist")))</f>
        <v/>
      </c>
      <c r="T14" s="10">
        <f>IF(OR($B14="",$Q14=""),"",ROUND(($Q14-$B14)*24,1))</f>
        <v/>
      </c>
    </row>
    <row r="15">
      <c r="A15">
        <f>IF($B15="","","SAK-"&amp;TEXT(ROW()-1,"0000"))</f>
        <v/>
      </c>
      <c r="B15" s="8">
        <f>IF($C15&amp;$H15="","",IF($B15="",NOW(),$B15))</f>
        <v/>
      </c>
      <c r="J15">
        <f>IF($F15="","",IFERROR(VLOOKUP($F15,Oppsett!$E$4:$F$11,2,FALSE),"– ikke tildelt –"))</f>
        <v/>
      </c>
      <c r="L15">
        <f>IF($B15="","",IF($K15&lt;&gt;"",$K15,$J15))</f>
        <v/>
      </c>
      <c r="N15" s="8">
        <f>IF(OR($B15="",$G15=""),"",$B15+VLOOKUP($G15,Oppsett!$H$4:$J$7,2,FALSE)/24)</f>
        <v/>
      </c>
      <c r="O15" s="8">
        <f>IF(OR($B15="",$G15=""),"",$B15+VLOOKUP($G15,Oppsett!$H$4:$J$7,3,FALSE)/24)</f>
        <v/>
      </c>
      <c r="P15" s="8" t="n"/>
      <c r="Q15" s="8" t="n"/>
      <c r="R15">
        <f>IF($B15="","",IF($P15&lt;&gt;"",IF($P15&lt;=$N15,"OK","Påbegynt for sent"),IF(NOW()&gt;$N15,"FORFALT","Innen frist")))</f>
        <v/>
      </c>
      <c r="S15">
        <f>IF($B15="","",IF($Q15&lt;&gt;"",IF($Q15&lt;=$O15,"OK","Løst for sent"),IF(NOW()&gt;$O15,"FORFALT","Innen frist")))</f>
        <v/>
      </c>
      <c r="T15" s="10">
        <f>IF(OR($B15="",$Q15=""),"",ROUND(($Q15-$B15)*24,1))</f>
        <v/>
      </c>
    </row>
    <row r="16">
      <c r="A16">
        <f>IF($B16="","","SAK-"&amp;TEXT(ROW()-1,"0000"))</f>
        <v/>
      </c>
      <c r="B16" s="8">
        <f>IF($C16&amp;$H16="","",IF($B16="",NOW(),$B16))</f>
        <v/>
      </c>
      <c r="J16">
        <f>IF($F16="","",IFERROR(VLOOKUP($F16,Oppsett!$E$4:$F$11,2,FALSE),"– ikke tildelt –"))</f>
        <v/>
      </c>
      <c r="L16">
        <f>IF($B16="","",IF($K16&lt;&gt;"",$K16,$J16))</f>
        <v/>
      </c>
      <c r="N16" s="8">
        <f>IF(OR($B16="",$G16=""),"",$B16+VLOOKUP($G16,Oppsett!$H$4:$J$7,2,FALSE)/24)</f>
        <v/>
      </c>
      <c r="O16" s="8">
        <f>IF(OR($B16="",$G16=""),"",$B16+VLOOKUP($G16,Oppsett!$H$4:$J$7,3,FALSE)/24)</f>
        <v/>
      </c>
      <c r="P16" s="8" t="n"/>
      <c r="Q16" s="8" t="n"/>
      <c r="R16">
        <f>IF($B16="","",IF($P16&lt;&gt;"",IF($P16&lt;=$N16,"OK","Påbegynt for sent"),IF(NOW()&gt;$N16,"FORFALT","Innen frist")))</f>
        <v/>
      </c>
      <c r="S16">
        <f>IF($B16="","",IF($Q16&lt;&gt;"",IF($Q16&lt;=$O16,"OK","Løst for sent"),IF(NOW()&gt;$O16,"FORFALT","Innen frist")))</f>
        <v/>
      </c>
      <c r="T16" s="10">
        <f>IF(OR($B16="",$Q16=""),"",ROUND(($Q16-$B16)*24,1))</f>
        <v/>
      </c>
    </row>
    <row r="17">
      <c r="A17">
        <f>IF($B17="","","SAK-"&amp;TEXT(ROW()-1,"0000"))</f>
        <v/>
      </c>
      <c r="B17" s="8">
        <f>IF($C17&amp;$H17="","",IF($B17="",NOW(),$B17))</f>
        <v/>
      </c>
      <c r="J17">
        <f>IF($F17="","",IFERROR(VLOOKUP($F17,Oppsett!$E$4:$F$11,2,FALSE),"– ikke tildelt –"))</f>
        <v/>
      </c>
      <c r="L17">
        <f>IF($B17="","",IF($K17&lt;&gt;"",$K17,$J17))</f>
        <v/>
      </c>
      <c r="N17" s="8">
        <f>IF(OR($B17="",$G17=""),"",$B17+VLOOKUP($G17,Oppsett!$H$4:$J$7,2,FALSE)/24)</f>
        <v/>
      </c>
      <c r="O17" s="8">
        <f>IF(OR($B17="",$G17=""),"",$B17+VLOOKUP($G17,Oppsett!$H$4:$J$7,3,FALSE)/24)</f>
        <v/>
      </c>
      <c r="P17" s="8" t="n"/>
      <c r="Q17" s="8" t="n"/>
      <c r="R17">
        <f>IF($B17="","",IF($P17&lt;&gt;"",IF($P17&lt;=$N17,"OK","Påbegynt for sent"),IF(NOW()&gt;$N17,"FORFALT","Innen frist")))</f>
        <v/>
      </c>
      <c r="S17">
        <f>IF($B17="","",IF($Q17&lt;&gt;"",IF($Q17&lt;=$O17,"OK","Løst for sent"),IF(NOW()&gt;$O17,"FORFALT","Innen frist")))</f>
        <v/>
      </c>
      <c r="T17" s="10">
        <f>IF(OR($B17="",$Q17=""),"",ROUND(($Q17-$B17)*24,1))</f>
        <v/>
      </c>
    </row>
    <row r="18">
      <c r="A18">
        <f>IF($B18="","","SAK-"&amp;TEXT(ROW()-1,"0000"))</f>
        <v/>
      </c>
      <c r="B18" s="8">
        <f>IF($C18&amp;$H18="","",IF($B18="",NOW(),$B18))</f>
        <v/>
      </c>
      <c r="J18">
        <f>IF($F18="","",IFERROR(VLOOKUP($F18,Oppsett!$E$4:$F$11,2,FALSE),"– ikke tildelt –"))</f>
        <v/>
      </c>
      <c r="L18">
        <f>IF($B18="","",IF($K18&lt;&gt;"",$K18,$J18))</f>
        <v/>
      </c>
      <c r="N18" s="8">
        <f>IF(OR($B18="",$G18=""),"",$B18+VLOOKUP($G18,Oppsett!$H$4:$J$7,2,FALSE)/24)</f>
        <v/>
      </c>
      <c r="O18" s="8">
        <f>IF(OR($B18="",$G18=""),"",$B18+VLOOKUP($G18,Oppsett!$H$4:$J$7,3,FALSE)/24)</f>
        <v/>
      </c>
      <c r="P18" s="8" t="n"/>
      <c r="Q18" s="8" t="n"/>
      <c r="R18">
        <f>IF($B18="","",IF($P18&lt;&gt;"",IF($P18&lt;=$N18,"OK","Påbegynt for sent"),IF(NOW()&gt;$N18,"FORFALT","Innen frist")))</f>
        <v/>
      </c>
      <c r="S18">
        <f>IF($B18="","",IF($Q18&lt;&gt;"",IF($Q18&lt;=$O18,"OK","Løst for sent"),IF(NOW()&gt;$O18,"FORFALT","Innen frist")))</f>
        <v/>
      </c>
      <c r="T18" s="10">
        <f>IF(OR($B18="",$Q18=""),"",ROUND(($Q18-$B18)*24,1))</f>
        <v/>
      </c>
    </row>
    <row r="19">
      <c r="A19">
        <f>IF($B19="","","SAK-"&amp;TEXT(ROW()-1,"0000"))</f>
        <v/>
      </c>
      <c r="B19" s="8">
        <f>IF($C19&amp;$H19="","",IF($B19="",NOW(),$B19))</f>
        <v/>
      </c>
      <c r="J19">
        <f>IF($F19="","",IFERROR(VLOOKUP($F19,Oppsett!$E$4:$F$11,2,FALSE),"– ikke tildelt –"))</f>
        <v/>
      </c>
      <c r="L19">
        <f>IF($B19="","",IF($K19&lt;&gt;"",$K19,$J19))</f>
        <v/>
      </c>
      <c r="N19" s="8">
        <f>IF(OR($B19="",$G19=""),"",$B19+VLOOKUP($G19,Oppsett!$H$4:$J$7,2,FALSE)/24)</f>
        <v/>
      </c>
      <c r="O19" s="8">
        <f>IF(OR($B19="",$G19=""),"",$B19+VLOOKUP($G19,Oppsett!$H$4:$J$7,3,FALSE)/24)</f>
        <v/>
      </c>
      <c r="P19" s="8" t="n"/>
      <c r="Q19" s="8" t="n"/>
      <c r="R19">
        <f>IF($B19="","",IF($P19&lt;&gt;"",IF($P19&lt;=$N19,"OK","Påbegynt for sent"),IF(NOW()&gt;$N19,"FORFALT","Innen frist")))</f>
        <v/>
      </c>
      <c r="S19">
        <f>IF($B19="","",IF($Q19&lt;&gt;"",IF($Q19&lt;=$O19,"OK","Løst for sent"),IF(NOW()&gt;$O19,"FORFALT","Innen frist")))</f>
        <v/>
      </c>
      <c r="T19" s="10">
        <f>IF(OR($B19="",$Q19=""),"",ROUND(($Q19-$B19)*24,1))</f>
        <v/>
      </c>
    </row>
    <row r="20">
      <c r="A20">
        <f>IF($B20="","","SAK-"&amp;TEXT(ROW()-1,"0000"))</f>
        <v/>
      </c>
      <c r="B20" s="8">
        <f>IF($C20&amp;$H20="","",IF($B20="",NOW(),$B20))</f>
        <v/>
      </c>
      <c r="J20">
        <f>IF($F20="","",IFERROR(VLOOKUP($F20,Oppsett!$E$4:$F$11,2,FALSE),"– ikke tildelt –"))</f>
        <v/>
      </c>
      <c r="L20">
        <f>IF($B20="","",IF($K20&lt;&gt;"",$K20,$J20))</f>
        <v/>
      </c>
      <c r="N20" s="8">
        <f>IF(OR($B20="",$G20=""),"",$B20+VLOOKUP($G20,Oppsett!$H$4:$J$7,2,FALSE)/24)</f>
        <v/>
      </c>
      <c r="O20" s="8">
        <f>IF(OR($B20="",$G20=""),"",$B20+VLOOKUP($G20,Oppsett!$H$4:$J$7,3,FALSE)/24)</f>
        <v/>
      </c>
      <c r="P20" s="8" t="n"/>
      <c r="Q20" s="8" t="n"/>
      <c r="R20">
        <f>IF($B20="","",IF($P20&lt;&gt;"",IF($P20&lt;=$N20,"OK","Påbegynt for sent"),IF(NOW()&gt;$N20,"FORFALT","Innen frist")))</f>
        <v/>
      </c>
      <c r="S20">
        <f>IF($B20="","",IF($Q20&lt;&gt;"",IF($Q20&lt;=$O20,"OK","Løst for sent"),IF(NOW()&gt;$O20,"FORFALT","Innen frist")))</f>
        <v/>
      </c>
      <c r="T20" s="10">
        <f>IF(OR($B20="",$Q20=""),"",ROUND(($Q20-$B20)*24,1))</f>
        <v/>
      </c>
    </row>
    <row r="21">
      <c r="A21">
        <f>IF($B21="","","SAK-"&amp;TEXT(ROW()-1,"0000"))</f>
        <v/>
      </c>
      <c r="B21" s="8">
        <f>IF($C21&amp;$H21="","",IF($B21="",NOW(),$B21))</f>
        <v/>
      </c>
      <c r="J21">
        <f>IF($F21="","",IFERROR(VLOOKUP($F21,Oppsett!$E$4:$F$11,2,FALSE),"– ikke tildelt –"))</f>
        <v/>
      </c>
      <c r="L21">
        <f>IF($B21="","",IF($K21&lt;&gt;"",$K21,$J21))</f>
        <v/>
      </c>
      <c r="N21" s="8">
        <f>IF(OR($B21="",$G21=""),"",$B21+VLOOKUP($G21,Oppsett!$H$4:$J$7,2,FALSE)/24)</f>
        <v/>
      </c>
      <c r="O21" s="8">
        <f>IF(OR($B21="",$G21=""),"",$B21+VLOOKUP($G21,Oppsett!$H$4:$J$7,3,FALSE)/24)</f>
        <v/>
      </c>
      <c r="P21" s="8" t="n"/>
      <c r="Q21" s="8" t="n"/>
      <c r="R21">
        <f>IF($B21="","",IF($P21&lt;&gt;"",IF($P21&lt;=$N21,"OK","Påbegynt for sent"),IF(NOW()&gt;$N21,"FORFALT","Innen frist")))</f>
        <v/>
      </c>
      <c r="S21">
        <f>IF($B21="","",IF($Q21&lt;&gt;"",IF($Q21&lt;=$O21,"OK","Løst for sent"),IF(NOW()&gt;$O21,"FORFALT","Innen frist")))</f>
        <v/>
      </c>
      <c r="T21" s="10">
        <f>IF(OR($B21="",$Q21=""),"",ROUND(($Q21-$B21)*24,1))</f>
        <v/>
      </c>
    </row>
    <row r="22">
      <c r="A22">
        <f>IF($B22="","","SAK-"&amp;TEXT(ROW()-1,"0000"))</f>
        <v/>
      </c>
      <c r="B22" s="8">
        <f>IF($C22&amp;$H22="","",IF($B22="",NOW(),$B22))</f>
        <v/>
      </c>
      <c r="J22">
        <f>IF($F22="","",IFERROR(VLOOKUP($F22,Oppsett!$E$4:$F$11,2,FALSE),"– ikke tildelt –"))</f>
        <v/>
      </c>
      <c r="L22">
        <f>IF($B22="","",IF($K22&lt;&gt;"",$K22,$J22))</f>
        <v/>
      </c>
      <c r="N22" s="8">
        <f>IF(OR($B22="",$G22=""),"",$B22+VLOOKUP($G22,Oppsett!$H$4:$J$7,2,FALSE)/24)</f>
        <v/>
      </c>
      <c r="O22" s="8">
        <f>IF(OR($B22="",$G22=""),"",$B22+VLOOKUP($G22,Oppsett!$H$4:$J$7,3,FALSE)/24)</f>
        <v/>
      </c>
      <c r="P22" s="8" t="n"/>
      <c r="Q22" s="8" t="n"/>
      <c r="R22">
        <f>IF($B22="","",IF($P22&lt;&gt;"",IF($P22&lt;=$N22,"OK","Påbegynt for sent"),IF(NOW()&gt;$N22,"FORFALT","Innen frist")))</f>
        <v/>
      </c>
      <c r="S22">
        <f>IF($B22="","",IF($Q22&lt;&gt;"",IF($Q22&lt;=$O22,"OK","Løst for sent"),IF(NOW()&gt;$O22,"FORFALT","Innen frist")))</f>
        <v/>
      </c>
      <c r="T22" s="10">
        <f>IF(OR($B22="",$Q22=""),"",ROUND(($Q22-$B22)*24,1))</f>
        <v/>
      </c>
    </row>
    <row r="23">
      <c r="A23">
        <f>IF($B23="","","SAK-"&amp;TEXT(ROW()-1,"0000"))</f>
        <v/>
      </c>
      <c r="B23" s="8">
        <f>IF($C23&amp;$H23="","",IF($B23="",NOW(),$B23))</f>
        <v/>
      </c>
      <c r="J23">
        <f>IF($F23="","",IFERROR(VLOOKUP($F23,Oppsett!$E$4:$F$11,2,FALSE),"– ikke tildelt –"))</f>
        <v/>
      </c>
      <c r="L23">
        <f>IF($B23="","",IF($K23&lt;&gt;"",$K23,$J23))</f>
        <v/>
      </c>
      <c r="N23" s="8">
        <f>IF(OR($B23="",$G23=""),"",$B23+VLOOKUP($G23,Oppsett!$H$4:$J$7,2,FALSE)/24)</f>
        <v/>
      </c>
      <c r="O23" s="8">
        <f>IF(OR($B23="",$G23=""),"",$B23+VLOOKUP($G23,Oppsett!$H$4:$J$7,3,FALSE)/24)</f>
        <v/>
      </c>
      <c r="P23" s="8" t="n"/>
      <c r="Q23" s="8" t="n"/>
      <c r="R23">
        <f>IF($B23="","",IF($P23&lt;&gt;"",IF($P23&lt;=$N23,"OK","Påbegynt for sent"),IF(NOW()&gt;$N23,"FORFALT","Innen frist")))</f>
        <v/>
      </c>
      <c r="S23">
        <f>IF($B23="","",IF($Q23&lt;&gt;"",IF($Q23&lt;=$O23,"OK","Løst for sent"),IF(NOW()&gt;$O23,"FORFALT","Innen frist")))</f>
        <v/>
      </c>
      <c r="T23" s="10">
        <f>IF(OR($B23="",$Q23=""),"",ROUND(($Q23-$B23)*24,1))</f>
        <v/>
      </c>
    </row>
    <row r="24">
      <c r="A24">
        <f>IF($B24="","","SAK-"&amp;TEXT(ROW()-1,"0000"))</f>
        <v/>
      </c>
      <c r="B24" s="8">
        <f>IF($C24&amp;$H24="","",IF($B24="",NOW(),$B24))</f>
        <v/>
      </c>
      <c r="J24">
        <f>IF($F24="","",IFERROR(VLOOKUP($F24,Oppsett!$E$4:$F$11,2,FALSE),"– ikke tildelt –"))</f>
        <v/>
      </c>
      <c r="L24">
        <f>IF($B24="","",IF($K24&lt;&gt;"",$K24,$J24))</f>
        <v/>
      </c>
      <c r="N24" s="8">
        <f>IF(OR($B24="",$G24=""),"",$B24+VLOOKUP($G24,Oppsett!$H$4:$J$7,2,FALSE)/24)</f>
        <v/>
      </c>
      <c r="O24" s="8">
        <f>IF(OR($B24="",$G24=""),"",$B24+VLOOKUP($G24,Oppsett!$H$4:$J$7,3,FALSE)/24)</f>
        <v/>
      </c>
      <c r="P24" s="8" t="n"/>
      <c r="Q24" s="8" t="n"/>
      <c r="R24">
        <f>IF($B24="","",IF($P24&lt;&gt;"",IF($P24&lt;=$N24,"OK","Påbegynt for sent"),IF(NOW()&gt;$N24,"FORFALT","Innen frist")))</f>
        <v/>
      </c>
      <c r="S24">
        <f>IF($B24="","",IF($Q24&lt;&gt;"",IF($Q24&lt;=$O24,"OK","Løst for sent"),IF(NOW()&gt;$O24,"FORFALT","Innen frist")))</f>
        <v/>
      </c>
      <c r="T24" s="10">
        <f>IF(OR($B24="",$Q24=""),"",ROUND(($Q24-$B24)*24,1))</f>
        <v/>
      </c>
    </row>
    <row r="25">
      <c r="A25">
        <f>IF($B25="","","SAK-"&amp;TEXT(ROW()-1,"0000"))</f>
        <v/>
      </c>
      <c r="B25" s="8">
        <f>IF($C25&amp;$H25="","",IF($B25="",NOW(),$B25))</f>
        <v/>
      </c>
      <c r="J25">
        <f>IF($F25="","",IFERROR(VLOOKUP($F25,Oppsett!$E$4:$F$11,2,FALSE),"– ikke tildelt –"))</f>
        <v/>
      </c>
      <c r="L25">
        <f>IF($B25="","",IF($K25&lt;&gt;"",$K25,$J25))</f>
        <v/>
      </c>
      <c r="N25" s="8">
        <f>IF(OR($B25="",$G25=""),"",$B25+VLOOKUP($G25,Oppsett!$H$4:$J$7,2,FALSE)/24)</f>
        <v/>
      </c>
      <c r="O25" s="8">
        <f>IF(OR($B25="",$G25=""),"",$B25+VLOOKUP($G25,Oppsett!$H$4:$J$7,3,FALSE)/24)</f>
        <v/>
      </c>
      <c r="P25" s="8" t="n"/>
      <c r="Q25" s="8" t="n"/>
      <c r="R25">
        <f>IF($B25="","",IF($P25&lt;&gt;"",IF($P25&lt;=$N25,"OK","Påbegynt for sent"),IF(NOW()&gt;$N25,"FORFALT","Innen frist")))</f>
        <v/>
      </c>
      <c r="S25">
        <f>IF($B25="","",IF($Q25&lt;&gt;"",IF($Q25&lt;=$O25,"OK","Løst for sent"),IF(NOW()&gt;$O25,"FORFALT","Innen frist")))</f>
        <v/>
      </c>
      <c r="T25" s="10">
        <f>IF(OR($B25="",$Q25=""),"",ROUND(($Q25-$B25)*24,1))</f>
        <v/>
      </c>
    </row>
    <row r="26">
      <c r="A26">
        <f>IF($B26="","","SAK-"&amp;TEXT(ROW()-1,"0000"))</f>
        <v/>
      </c>
      <c r="B26" s="8">
        <f>IF($C26&amp;$H26="","",IF($B26="",NOW(),$B26))</f>
        <v/>
      </c>
      <c r="J26">
        <f>IF($F26="","",IFERROR(VLOOKUP($F26,Oppsett!$E$4:$F$11,2,FALSE),"– ikke tildelt –"))</f>
        <v/>
      </c>
      <c r="L26">
        <f>IF($B26="","",IF($K26&lt;&gt;"",$K26,$J26))</f>
        <v/>
      </c>
      <c r="N26" s="8">
        <f>IF(OR($B26="",$G26=""),"",$B26+VLOOKUP($G26,Oppsett!$H$4:$J$7,2,FALSE)/24)</f>
        <v/>
      </c>
      <c r="O26" s="8">
        <f>IF(OR($B26="",$G26=""),"",$B26+VLOOKUP($G26,Oppsett!$H$4:$J$7,3,FALSE)/24)</f>
        <v/>
      </c>
      <c r="P26" s="8" t="n"/>
      <c r="Q26" s="8" t="n"/>
      <c r="R26">
        <f>IF($B26="","",IF($P26&lt;&gt;"",IF($P26&lt;=$N26,"OK","Påbegynt for sent"),IF(NOW()&gt;$N26,"FORFALT","Innen frist")))</f>
        <v/>
      </c>
      <c r="S26">
        <f>IF($B26="","",IF($Q26&lt;&gt;"",IF($Q26&lt;=$O26,"OK","Løst for sent"),IF(NOW()&gt;$O26,"FORFALT","Innen frist")))</f>
        <v/>
      </c>
      <c r="T26" s="10">
        <f>IF(OR($B26="",$Q26=""),"",ROUND(($Q26-$B26)*24,1))</f>
        <v/>
      </c>
    </row>
    <row r="27">
      <c r="A27">
        <f>IF($B27="","","SAK-"&amp;TEXT(ROW()-1,"0000"))</f>
        <v/>
      </c>
      <c r="B27" s="8">
        <f>IF($C27&amp;$H27="","",IF($B27="",NOW(),$B27))</f>
        <v/>
      </c>
      <c r="J27">
        <f>IF($F27="","",IFERROR(VLOOKUP($F27,Oppsett!$E$4:$F$11,2,FALSE),"– ikke tildelt –"))</f>
        <v/>
      </c>
      <c r="L27">
        <f>IF($B27="","",IF($K27&lt;&gt;"",$K27,$J27))</f>
        <v/>
      </c>
      <c r="N27" s="8">
        <f>IF(OR($B27="",$G27=""),"",$B27+VLOOKUP($G27,Oppsett!$H$4:$J$7,2,FALSE)/24)</f>
        <v/>
      </c>
      <c r="O27" s="8">
        <f>IF(OR($B27="",$G27=""),"",$B27+VLOOKUP($G27,Oppsett!$H$4:$J$7,3,FALSE)/24)</f>
        <v/>
      </c>
      <c r="P27" s="8" t="n"/>
      <c r="Q27" s="8" t="n"/>
      <c r="R27">
        <f>IF($B27="","",IF($P27&lt;&gt;"",IF($P27&lt;=$N27,"OK","Påbegynt for sent"),IF(NOW()&gt;$N27,"FORFALT","Innen frist")))</f>
        <v/>
      </c>
      <c r="S27">
        <f>IF($B27="","",IF($Q27&lt;&gt;"",IF($Q27&lt;=$O27,"OK","Løst for sent"),IF(NOW()&gt;$O27,"FORFALT","Innen frist")))</f>
        <v/>
      </c>
      <c r="T27" s="10">
        <f>IF(OR($B27="",$Q27=""),"",ROUND(($Q27-$B27)*24,1))</f>
        <v/>
      </c>
    </row>
    <row r="28">
      <c r="A28">
        <f>IF($B28="","","SAK-"&amp;TEXT(ROW()-1,"0000"))</f>
        <v/>
      </c>
      <c r="B28" s="8">
        <f>IF($C28&amp;$H28="","",IF($B28="",NOW(),$B28))</f>
        <v/>
      </c>
      <c r="J28">
        <f>IF($F28="","",IFERROR(VLOOKUP($F28,Oppsett!$E$4:$F$11,2,FALSE),"– ikke tildelt –"))</f>
        <v/>
      </c>
      <c r="L28">
        <f>IF($B28="","",IF($K28&lt;&gt;"",$K28,$J28))</f>
        <v/>
      </c>
      <c r="N28" s="8">
        <f>IF(OR($B28="",$G28=""),"",$B28+VLOOKUP($G28,Oppsett!$H$4:$J$7,2,FALSE)/24)</f>
        <v/>
      </c>
      <c r="O28" s="8">
        <f>IF(OR($B28="",$G28=""),"",$B28+VLOOKUP($G28,Oppsett!$H$4:$J$7,3,FALSE)/24)</f>
        <v/>
      </c>
      <c r="P28" s="8" t="n"/>
      <c r="Q28" s="8" t="n"/>
      <c r="R28">
        <f>IF($B28="","",IF($P28&lt;&gt;"",IF($P28&lt;=$N28,"OK","Påbegynt for sent"),IF(NOW()&gt;$N28,"FORFALT","Innen frist")))</f>
        <v/>
      </c>
      <c r="S28">
        <f>IF($B28="","",IF($Q28&lt;&gt;"",IF($Q28&lt;=$O28,"OK","Løst for sent"),IF(NOW()&gt;$O28,"FORFALT","Innen frist")))</f>
        <v/>
      </c>
      <c r="T28" s="10">
        <f>IF(OR($B28="",$Q28=""),"",ROUND(($Q28-$B28)*24,1))</f>
        <v/>
      </c>
    </row>
    <row r="29">
      <c r="A29">
        <f>IF($B29="","","SAK-"&amp;TEXT(ROW()-1,"0000"))</f>
        <v/>
      </c>
      <c r="B29" s="8">
        <f>IF($C29&amp;$H29="","",IF($B29="",NOW(),$B29))</f>
        <v/>
      </c>
      <c r="J29">
        <f>IF($F29="","",IFERROR(VLOOKUP($F29,Oppsett!$E$4:$F$11,2,FALSE),"– ikke tildelt –"))</f>
        <v/>
      </c>
      <c r="L29">
        <f>IF($B29="","",IF($K29&lt;&gt;"",$K29,$J29))</f>
        <v/>
      </c>
      <c r="N29" s="8">
        <f>IF(OR($B29="",$G29=""),"",$B29+VLOOKUP($G29,Oppsett!$H$4:$J$7,2,FALSE)/24)</f>
        <v/>
      </c>
      <c r="O29" s="8">
        <f>IF(OR($B29="",$G29=""),"",$B29+VLOOKUP($G29,Oppsett!$H$4:$J$7,3,FALSE)/24)</f>
        <v/>
      </c>
      <c r="P29" s="8" t="n"/>
      <c r="Q29" s="8" t="n"/>
      <c r="R29">
        <f>IF($B29="","",IF($P29&lt;&gt;"",IF($P29&lt;=$N29,"OK","Påbegynt for sent"),IF(NOW()&gt;$N29,"FORFALT","Innen frist")))</f>
        <v/>
      </c>
      <c r="S29">
        <f>IF($B29="","",IF($Q29&lt;&gt;"",IF($Q29&lt;=$O29,"OK","Løst for sent"),IF(NOW()&gt;$O29,"FORFALT","Innen frist")))</f>
        <v/>
      </c>
      <c r="T29" s="10">
        <f>IF(OR($B29="",$Q29=""),"",ROUND(($Q29-$B29)*24,1))</f>
        <v/>
      </c>
    </row>
    <row r="30">
      <c r="A30">
        <f>IF($B30="","","SAK-"&amp;TEXT(ROW()-1,"0000"))</f>
        <v/>
      </c>
      <c r="B30" s="8">
        <f>IF($C30&amp;$H30="","",IF($B30="",NOW(),$B30))</f>
        <v/>
      </c>
      <c r="J30">
        <f>IF($F30="","",IFERROR(VLOOKUP($F30,Oppsett!$E$4:$F$11,2,FALSE),"– ikke tildelt –"))</f>
        <v/>
      </c>
      <c r="L30">
        <f>IF($B30="","",IF($K30&lt;&gt;"",$K30,$J30))</f>
        <v/>
      </c>
      <c r="N30" s="8">
        <f>IF(OR($B30="",$G30=""),"",$B30+VLOOKUP($G30,Oppsett!$H$4:$J$7,2,FALSE)/24)</f>
        <v/>
      </c>
      <c r="O30" s="8">
        <f>IF(OR($B30="",$G30=""),"",$B30+VLOOKUP($G30,Oppsett!$H$4:$J$7,3,FALSE)/24)</f>
        <v/>
      </c>
      <c r="P30" s="8" t="n"/>
      <c r="Q30" s="8" t="n"/>
      <c r="R30">
        <f>IF($B30="","",IF($P30&lt;&gt;"",IF($P30&lt;=$N30,"OK","Påbegynt for sent"),IF(NOW()&gt;$N30,"FORFALT","Innen frist")))</f>
        <v/>
      </c>
      <c r="S30">
        <f>IF($B30="","",IF($Q30&lt;&gt;"",IF($Q30&lt;=$O30,"OK","Løst for sent"),IF(NOW()&gt;$O30,"FORFALT","Innen frist")))</f>
        <v/>
      </c>
      <c r="T30" s="10">
        <f>IF(OR($B30="",$Q30=""),"",ROUND(($Q30-$B30)*24,1))</f>
        <v/>
      </c>
    </row>
    <row r="31">
      <c r="A31">
        <f>IF($B31="","","SAK-"&amp;TEXT(ROW()-1,"0000"))</f>
        <v/>
      </c>
      <c r="B31" s="8">
        <f>IF($C31&amp;$H31="","",IF($B31="",NOW(),$B31))</f>
        <v/>
      </c>
      <c r="J31">
        <f>IF($F31="","",IFERROR(VLOOKUP($F31,Oppsett!$E$4:$F$11,2,FALSE),"– ikke tildelt –"))</f>
        <v/>
      </c>
      <c r="L31">
        <f>IF($B31="","",IF($K31&lt;&gt;"",$K31,$J31))</f>
        <v/>
      </c>
      <c r="N31" s="8">
        <f>IF(OR($B31="",$G31=""),"",$B31+VLOOKUP($G31,Oppsett!$H$4:$J$7,2,FALSE)/24)</f>
        <v/>
      </c>
      <c r="O31" s="8">
        <f>IF(OR($B31="",$G31=""),"",$B31+VLOOKUP($G31,Oppsett!$H$4:$J$7,3,FALSE)/24)</f>
        <v/>
      </c>
      <c r="P31" s="8" t="n"/>
      <c r="Q31" s="8" t="n"/>
      <c r="R31">
        <f>IF($B31="","",IF($P31&lt;&gt;"",IF($P31&lt;=$N31,"OK","Påbegynt for sent"),IF(NOW()&gt;$N31,"FORFALT","Innen frist")))</f>
        <v/>
      </c>
      <c r="S31">
        <f>IF($B31="","",IF($Q31&lt;&gt;"",IF($Q31&lt;=$O31,"OK","Løst for sent"),IF(NOW()&gt;$O31,"FORFALT","Innen frist")))</f>
        <v/>
      </c>
      <c r="T31" s="10">
        <f>IF(OR($B31="",$Q31=""),"",ROUND(($Q31-$B31)*24,1))</f>
        <v/>
      </c>
    </row>
    <row r="32">
      <c r="A32">
        <f>IF($B32="","","SAK-"&amp;TEXT(ROW()-1,"0000"))</f>
        <v/>
      </c>
      <c r="B32" s="8">
        <f>IF($C32&amp;$H32="","",IF($B32="",NOW(),$B32))</f>
        <v/>
      </c>
      <c r="J32">
        <f>IF($F32="","",IFERROR(VLOOKUP($F32,Oppsett!$E$4:$F$11,2,FALSE),"– ikke tildelt –"))</f>
        <v/>
      </c>
      <c r="L32">
        <f>IF($B32="","",IF($K32&lt;&gt;"",$K32,$J32))</f>
        <v/>
      </c>
      <c r="N32" s="8">
        <f>IF(OR($B32="",$G32=""),"",$B32+VLOOKUP($G32,Oppsett!$H$4:$J$7,2,FALSE)/24)</f>
        <v/>
      </c>
      <c r="O32" s="8">
        <f>IF(OR($B32="",$G32=""),"",$B32+VLOOKUP($G32,Oppsett!$H$4:$J$7,3,FALSE)/24)</f>
        <v/>
      </c>
      <c r="P32" s="8" t="n"/>
      <c r="Q32" s="8" t="n"/>
      <c r="R32">
        <f>IF($B32="","",IF($P32&lt;&gt;"",IF($P32&lt;=$N32,"OK","Påbegynt for sent"),IF(NOW()&gt;$N32,"FORFALT","Innen frist")))</f>
        <v/>
      </c>
      <c r="S32">
        <f>IF($B32="","",IF($Q32&lt;&gt;"",IF($Q32&lt;=$O32,"OK","Løst for sent"),IF(NOW()&gt;$O32,"FORFALT","Innen frist")))</f>
        <v/>
      </c>
      <c r="T32" s="10">
        <f>IF(OR($B32="",$Q32=""),"",ROUND(($Q32-$B32)*24,1))</f>
        <v/>
      </c>
    </row>
    <row r="33">
      <c r="A33">
        <f>IF($B33="","","SAK-"&amp;TEXT(ROW()-1,"0000"))</f>
        <v/>
      </c>
      <c r="B33" s="8">
        <f>IF($C33&amp;$H33="","",IF($B33="",NOW(),$B33))</f>
        <v/>
      </c>
      <c r="J33">
        <f>IF($F33="","",IFERROR(VLOOKUP($F33,Oppsett!$E$4:$F$11,2,FALSE),"– ikke tildelt –"))</f>
        <v/>
      </c>
      <c r="L33">
        <f>IF($B33="","",IF($K33&lt;&gt;"",$K33,$J33))</f>
        <v/>
      </c>
      <c r="N33" s="8">
        <f>IF(OR($B33="",$G33=""),"",$B33+VLOOKUP($G33,Oppsett!$H$4:$J$7,2,FALSE)/24)</f>
        <v/>
      </c>
      <c r="O33" s="8">
        <f>IF(OR($B33="",$G33=""),"",$B33+VLOOKUP($G33,Oppsett!$H$4:$J$7,3,FALSE)/24)</f>
        <v/>
      </c>
      <c r="P33" s="8" t="n"/>
      <c r="Q33" s="8" t="n"/>
      <c r="R33">
        <f>IF($B33="","",IF($P33&lt;&gt;"",IF($P33&lt;=$N33,"OK","Påbegynt for sent"),IF(NOW()&gt;$N33,"FORFALT","Innen frist")))</f>
        <v/>
      </c>
      <c r="S33">
        <f>IF($B33="","",IF($Q33&lt;&gt;"",IF($Q33&lt;=$O33,"OK","Løst for sent"),IF(NOW()&gt;$O33,"FORFALT","Innen frist")))</f>
        <v/>
      </c>
      <c r="T33" s="10">
        <f>IF(OR($B33="",$Q33=""),"",ROUND(($Q33-$B33)*24,1))</f>
        <v/>
      </c>
    </row>
    <row r="34">
      <c r="A34">
        <f>IF($B34="","","SAK-"&amp;TEXT(ROW()-1,"0000"))</f>
        <v/>
      </c>
      <c r="B34" s="8">
        <f>IF($C34&amp;$H34="","",IF($B34="",NOW(),$B34))</f>
        <v/>
      </c>
      <c r="J34">
        <f>IF($F34="","",IFERROR(VLOOKUP($F34,Oppsett!$E$4:$F$11,2,FALSE),"– ikke tildelt –"))</f>
        <v/>
      </c>
      <c r="L34">
        <f>IF($B34="","",IF($K34&lt;&gt;"",$K34,$J34))</f>
        <v/>
      </c>
      <c r="N34" s="8">
        <f>IF(OR($B34="",$G34=""),"",$B34+VLOOKUP($G34,Oppsett!$H$4:$J$7,2,FALSE)/24)</f>
        <v/>
      </c>
      <c r="O34" s="8">
        <f>IF(OR($B34="",$G34=""),"",$B34+VLOOKUP($G34,Oppsett!$H$4:$J$7,3,FALSE)/24)</f>
        <v/>
      </c>
      <c r="P34" s="8" t="n"/>
      <c r="Q34" s="8" t="n"/>
      <c r="R34">
        <f>IF($B34="","",IF($P34&lt;&gt;"",IF($P34&lt;=$N34,"OK","Påbegynt for sent"),IF(NOW()&gt;$N34,"FORFALT","Innen frist")))</f>
        <v/>
      </c>
      <c r="S34">
        <f>IF($B34="","",IF($Q34&lt;&gt;"",IF($Q34&lt;=$O34,"OK","Løst for sent"),IF(NOW()&gt;$O34,"FORFALT","Innen frist")))</f>
        <v/>
      </c>
      <c r="T34" s="10">
        <f>IF(OR($B34="",$Q34=""),"",ROUND(($Q34-$B34)*24,1))</f>
        <v/>
      </c>
    </row>
    <row r="35">
      <c r="A35">
        <f>IF($B35="","","SAK-"&amp;TEXT(ROW()-1,"0000"))</f>
        <v/>
      </c>
      <c r="B35" s="8">
        <f>IF($C35&amp;$H35="","",IF($B35="",NOW(),$B35))</f>
        <v/>
      </c>
      <c r="J35">
        <f>IF($F35="","",IFERROR(VLOOKUP($F35,Oppsett!$E$4:$F$11,2,FALSE),"– ikke tildelt –"))</f>
        <v/>
      </c>
      <c r="L35">
        <f>IF($B35="","",IF($K35&lt;&gt;"",$K35,$J35))</f>
        <v/>
      </c>
      <c r="N35" s="8">
        <f>IF(OR($B35="",$G35=""),"",$B35+VLOOKUP($G35,Oppsett!$H$4:$J$7,2,FALSE)/24)</f>
        <v/>
      </c>
      <c r="O35" s="8">
        <f>IF(OR($B35="",$G35=""),"",$B35+VLOOKUP($G35,Oppsett!$H$4:$J$7,3,FALSE)/24)</f>
        <v/>
      </c>
      <c r="P35" s="8" t="n"/>
      <c r="Q35" s="8" t="n"/>
      <c r="R35">
        <f>IF($B35="","",IF($P35&lt;&gt;"",IF($P35&lt;=$N35,"OK","Påbegynt for sent"),IF(NOW()&gt;$N35,"FORFALT","Innen frist")))</f>
        <v/>
      </c>
      <c r="S35">
        <f>IF($B35="","",IF($Q35&lt;&gt;"",IF($Q35&lt;=$O35,"OK","Løst for sent"),IF(NOW()&gt;$O35,"FORFALT","Innen frist")))</f>
        <v/>
      </c>
      <c r="T35" s="10">
        <f>IF(OR($B35="",$Q35=""),"",ROUND(($Q35-$B35)*24,1))</f>
        <v/>
      </c>
    </row>
    <row r="36">
      <c r="A36">
        <f>IF($B36="","","SAK-"&amp;TEXT(ROW()-1,"0000"))</f>
        <v/>
      </c>
      <c r="B36" s="8">
        <f>IF($C36&amp;$H36="","",IF($B36="",NOW(),$B36))</f>
        <v/>
      </c>
      <c r="J36">
        <f>IF($F36="","",IFERROR(VLOOKUP($F36,Oppsett!$E$4:$F$11,2,FALSE),"– ikke tildelt –"))</f>
        <v/>
      </c>
      <c r="L36">
        <f>IF($B36="","",IF($K36&lt;&gt;"",$K36,$J36))</f>
        <v/>
      </c>
      <c r="N36" s="8">
        <f>IF(OR($B36="",$G36=""),"",$B36+VLOOKUP($G36,Oppsett!$H$4:$J$7,2,FALSE)/24)</f>
        <v/>
      </c>
      <c r="O36" s="8">
        <f>IF(OR($B36="",$G36=""),"",$B36+VLOOKUP($G36,Oppsett!$H$4:$J$7,3,FALSE)/24)</f>
        <v/>
      </c>
      <c r="P36" s="8" t="n"/>
      <c r="Q36" s="8" t="n"/>
      <c r="R36">
        <f>IF($B36="","",IF($P36&lt;&gt;"",IF($P36&lt;=$N36,"OK","Påbegynt for sent"),IF(NOW()&gt;$N36,"FORFALT","Innen frist")))</f>
        <v/>
      </c>
      <c r="S36">
        <f>IF($B36="","",IF($Q36&lt;&gt;"",IF($Q36&lt;=$O36,"OK","Løst for sent"),IF(NOW()&gt;$O36,"FORFALT","Innen frist")))</f>
        <v/>
      </c>
      <c r="T36" s="10">
        <f>IF(OR($B36="",$Q36=""),"",ROUND(($Q36-$B36)*24,1))</f>
        <v/>
      </c>
    </row>
    <row r="37">
      <c r="A37">
        <f>IF($B37="","","SAK-"&amp;TEXT(ROW()-1,"0000"))</f>
        <v/>
      </c>
      <c r="B37" s="8">
        <f>IF($C37&amp;$H37="","",IF($B37="",NOW(),$B37))</f>
        <v/>
      </c>
      <c r="J37">
        <f>IF($F37="","",IFERROR(VLOOKUP($F37,Oppsett!$E$4:$F$11,2,FALSE),"– ikke tildelt –"))</f>
        <v/>
      </c>
      <c r="L37">
        <f>IF($B37="","",IF($K37&lt;&gt;"",$K37,$J37))</f>
        <v/>
      </c>
      <c r="N37" s="8">
        <f>IF(OR($B37="",$G37=""),"",$B37+VLOOKUP($G37,Oppsett!$H$4:$J$7,2,FALSE)/24)</f>
        <v/>
      </c>
      <c r="O37" s="8">
        <f>IF(OR($B37="",$G37=""),"",$B37+VLOOKUP($G37,Oppsett!$H$4:$J$7,3,FALSE)/24)</f>
        <v/>
      </c>
      <c r="P37" s="8" t="n"/>
      <c r="Q37" s="8" t="n"/>
      <c r="R37">
        <f>IF($B37="","",IF($P37&lt;&gt;"",IF($P37&lt;=$N37,"OK","Påbegynt for sent"),IF(NOW()&gt;$N37,"FORFALT","Innen frist")))</f>
        <v/>
      </c>
      <c r="S37">
        <f>IF($B37="","",IF($Q37&lt;&gt;"",IF($Q37&lt;=$O37,"OK","Løst for sent"),IF(NOW()&gt;$O37,"FORFALT","Innen frist")))</f>
        <v/>
      </c>
      <c r="T37" s="10">
        <f>IF(OR($B37="",$Q37=""),"",ROUND(($Q37-$B37)*24,1))</f>
        <v/>
      </c>
    </row>
    <row r="38">
      <c r="A38">
        <f>IF($B38="","","SAK-"&amp;TEXT(ROW()-1,"0000"))</f>
        <v/>
      </c>
      <c r="B38" s="8">
        <f>IF($C38&amp;$H38="","",IF($B38="",NOW(),$B38))</f>
        <v/>
      </c>
      <c r="J38">
        <f>IF($F38="","",IFERROR(VLOOKUP($F38,Oppsett!$E$4:$F$11,2,FALSE),"– ikke tildelt –"))</f>
        <v/>
      </c>
      <c r="L38">
        <f>IF($B38="","",IF($K38&lt;&gt;"",$K38,$J38))</f>
        <v/>
      </c>
      <c r="N38" s="8">
        <f>IF(OR($B38="",$G38=""),"",$B38+VLOOKUP($G38,Oppsett!$H$4:$J$7,2,FALSE)/24)</f>
        <v/>
      </c>
      <c r="O38" s="8">
        <f>IF(OR($B38="",$G38=""),"",$B38+VLOOKUP($G38,Oppsett!$H$4:$J$7,3,FALSE)/24)</f>
        <v/>
      </c>
      <c r="P38" s="8" t="n"/>
      <c r="Q38" s="8" t="n"/>
      <c r="R38">
        <f>IF($B38="","",IF($P38&lt;&gt;"",IF($P38&lt;=$N38,"OK","Påbegynt for sent"),IF(NOW()&gt;$N38,"FORFALT","Innen frist")))</f>
        <v/>
      </c>
      <c r="S38">
        <f>IF($B38="","",IF($Q38&lt;&gt;"",IF($Q38&lt;=$O38,"OK","Løst for sent"),IF(NOW()&gt;$O38,"FORFALT","Innen frist")))</f>
        <v/>
      </c>
      <c r="T38" s="10">
        <f>IF(OR($B38="",$Q38=""),"",ROUND(($Q38-$B38)*24,1))</f>
        <v/>
      </c>
    </row>
    <row r="39">
      <c r="A39">
        <f>IF($B39="","","SAK-"&amp;TEXT(ROW()-1,"0000"))</f>
        <v/>
      </c>
      <c r="B39" s="8">
        <f>IF($C39&amp;$H39="","",IF($B39="",NOW(),$B39))</f>
        <v/>
      </c>
      <c r="J39">
        <f>IF($F39="","",IFERROR(VLOOKUP($F39,Oppsett!$E$4:$F$11,2,FALSE),"– ikke tildelt –"))</f>
        <v/>
      </c>
      <c r="L39">
        <f>IF($B39="","",IF($K39&lt;&gt;"",$K39,$J39))</f>
        <v/>
      </c>
      <c r="N39" s="8">
        <f>IF(OR($B39="",$G39=""),"",$B39+VLOOKUP($G39,Oppsett!$H$4:$J$7,2,FALSE)/24)</f>
        <v/>
      </c>
      <c r="O39" s="8">
        <f>IF(OR($B39="",$G39=""),"",$B39+VLOOKUP($G39,Oppsett!$H$4:$J$7,3,FALSE)/24)</f>
        <v/>
      </c>
      <c r="P39" s="8" t="n"/>
      <c r="Q39" s="8" t="n"/>
      <c r="R39">
        <f>IF($B39="","",IF($P39&lt;&gt;"",IF($P39&lt;=$N39,"OK","Påbegynt for sent"),IF(NOW()&gt;$N39,"FORFALT","Innen frist")))</f>
        <v/>
      </c>
      <c r="S39">
        <f>IF($B39="","",IF($Q39&lt;&gt;"",IF($Q39&lt;=$O39,"OK","Løst for sent"),IF(NOW()&gt;$O39,"FORFALT","Innen frist")))</f>
        <v/>
      </c>
      <c r="T39" s="10">
        <f>IF(OR($B39="",$Q39=""),"",ROUND(($Q39-$B39)*24,1))</f>
        <v/>
      </c>
    </row>
    <row r="40">
      <c r="A40">
        <f>IF($B40="","","SAK-"&amp;TEXT(ROW()-1,"0000"))</f>
        <v/>
      </c>
      <c r="B40" s="8">
        <f>IF($C40&amp;$H40="","",IF($B40="",NOW(),$B40))</f>
        <v/>
      </c>
      <c r="J40">
        <f>IF($F40="","",IFERROR(VLOOKUP($F40,Oppsett!$E$4:$F$11,2,FALSE),"– ikke tildelt –"))</f>
        <v/>
      </c>
      <c r="L40">
        <f>IF($B40="","",IF($K40&lt;&gt;"",$K40,$J40))</f>
        <v/>
      </c>
      <c r="N40" s="8">
        <f>IF(OR($B40="",$G40=""),"",$B40+VLOOKUP($G40,Oppsett!$H$4:$J$7,2,FALSE)/24)</f>
        <v/>
      </c>
      <c r="O40" s="8">
        <f>IF(OR($B40="",$G40=""),"",$B40+VLOOKUP($G40,Oppsett!$H$4:$J$7,3,FALSE)/24)</f>
        <v/>
      </c>
      <c r="P40" s="8" t="n"/>
      <c r="Q40" s="8" t="n"/>
      <c r="R40">
        <f>IF($B40="","",IF($P40&lt;&gt;"",IF($P40&lt;=$N40,"OK","Påbegynt for sent"),IF(NOW()&gt;$N40,"FORFALT","Innen frist")))</f>
        <v/>
      </c>
      <c r="S40">
        <f>IF($B40="","",IF($Q40&lt;&gt;"",IF($Q40&lt;=$O40,"OK","Løst for sent"),IF(NOW()&gt;$O40,"FORFALT","Innen frist")))</f>
        <v/>
      </c>
      <c r="T40" s="10">
        <f>IF(OR($B40="",$Q40=""),"",ROUND(($Q40-$B40)*24,1))</f>
        <v/>
      </c>
    </row>
    <row r="41">
      <c r="A41">
        <f>IF($B41="","","SAK-"&amp;TEXT(ROW()-1,"0000"))</f>
        <v/>
      </c>
      <c r="B41" s="8">
        <f>IF($C41&amp;$H41="","",IF($B41="",NOW(),$B41))</f>
        <v/>
      </c>
      <c r="J41">
        <f>IF($F41="","",IFERROR(VLOOKUP($F41,Oppsett!$E$4:$F$11,2,FALSE),"– ikke tildelt –"))</f>
        <v/>
      </c>
      <c r="L41">
        <f>IF($B41="","",IF($K41&lt;&gt;"",$K41,$J41))</f>
        <v/>
      </c>
      <c r="N41" s="8">
        <f>IF(OR($B41="",$G41=""),"",$B41+VLOOKUP($G41,Oppsett!$H$4:$J$7,2,FALSE)/24)</f>
        <v/>
      </c>
      <c r="O41" s="8">
        <f>IF(OR($B41="",$G41=""),"",$B41+VLOOKUP($G41,Oppsett!$H$4:$J$7,3,FALSE)/24)</f>
        <v/>
      </c>
      <c r="P41" s="8" t="n"/>
      <c r="Q41" s="8" t="n"/>
      <c r="R41">
        <f>IF($B41="","",IF($P41&lt;&gt;"",IF($P41&lt;=$N41,"OK","Påbegynt for sent"),IF(NOW()&gt;$N41,"FORFALT","Innen frist")))</f>
        <v/>
      </c>
      <c r="S41">
        <f>IF($B41="","",IF($Q41&lt;&gt;"",IF($Q41&lt;=$O41,"OK","Løst for sent"),IF(NOW()&gt;$O41,"FORFALT","Innen frist")))</f>
        <v/>
      </c>
      <c r="T41" s="10">
        <f>IF(OR($B41="",$Q41=""),"",ROUND(($Q41-$B41)*24,1))</f>
        <v/>
      </c>
    </row>
    <row r="42">
      <c r="A42">
        <f>IF($B42="","","SAK-"&amp;TEXT(ROW()-1,"0000"))</f>
        <v/>
      </c>
      <c r="B42" s="8">
        <f>IF($C42&amp;$H42="","",IF($B42="",NOW(),$B42))</f>
        <v/>
      </c>
      <c r="J42">
        <f>IF($F42="","",IFERROR(VLOOKUP($F42,Oppsett!$E$4:$F$11,2,FALSE),"– ikke tildelt –"))</f>
        <v/>
      </c>
      <c r="L42">
        <f>IF($B42="","",IF($K42&lt;&gt;"",$K42,$J42))</f>
        <v/>
      </c>
      <c r="N42" s="8">
        <f>IF(OR($B42="",$G42=""),"",$B42+VLOOKUP($G42,Oppsett!$H$4:$J$7,2,FALSE)/24)</f>
        <v/>
      </c>
      <c r="O42" s="8">
        <f>IF(OR($B42="",$G42=""),"",$B42+VLOOKUP($G42,Oppsett!$H$4:$J$7,3,FALSE)/24)</f>
        <v/>
      </c>
      <c r="P42" s="8" t="n"/>
      <c r="Q42" s="8" t="n"/>
      <c r="R42">
        <f>IF($B42="","",IF($P42&lt;&gt;"",IF($P42&lt;=$N42,"OK","Påbegynt for sent"),IF(NOW()&gt;$N42,"FORFALT","Innen frist")))</f>
        <v/>
      </c>
      <c r="S42">
        <f>IF($B42="","",IF($Q42&lt;&gt;"",IF($Q42&lt;=$O42,"OK","Løst for sent"),IF(NOW()&gt;$O42,"FORFALT","Innen frist")))</f>
        <v/>
      </c>
      <c r="T42" s="10">
        <f>IF(OR($B42="",$Q42=""),"",ROUND(($Q42-$B42)*24,1))</f>
        <v/>
      </c>
    </row>
    <row r="43">
      <c r="A43">
        <f>IF($B43="","","SAK-"&amp;TEXT(ROW()-1,"0000"))</f>
        <v/>
      </c>
      <c r="B43" s="8">
        <f>IF($C43&amp;$H43="","",IF($B43="",NOW(),$B43))</f>
        <v/>
      </c>
      <c r="J43">
        <f>IF($F43="","",IFERROR(VLOOKUP($F43,Oppsett!$E$4:$F$11,2,FALSE),"– ikke tildelt –"))</f>
        <v/>
      </c>
      <c r="L43">
        <f>IF($B43="","",IF($K43&lt;&gt;"",$K43,$J43))</f>
        <v/>
      </c>
      <c r="N43" s="8">
        <f>IF(OR($B43="",$G43=""),"",$B43+VLOOKUP($G43,Oppsett!$H$4:$J$7,2,FALSE)/24)</f>
        <v/>
      </c>
      <c r="O43" s="8">
        <f>IF(OR($B43="",$G43=""),"",$B43+VLOOKUP($G43,Oppsett!$H$4:$J$7,3,FALSE)/24)</f>
        <v/>
      </c>
      <c r="P43" s="8" t="n"/>
      <c r="Q43" s="8" t="n"/>
      <c r="R43">
        <f>IF($B43="","",IF($P43&lt;&gt;"",IF($P43&lt;=$N43,"OK","Påbegynt for sent"),IF(NOW()&gt;$N43,"FORFALT","Innen frist")))</f>
        <v/>
      </c>
      <c r="S43">
        <f>IF($B43="","",IF($Q43&lt;&gt;"",IF($Q43&lt;=$O43,"OK","Løst for sent"),IF(NOW()&gt;$O43,"FORFALT","Innen frist")))</f>
        <v/>
      </c>
      <c r="T43" s="10">
        <f>IF(OR($B43="",$Q43=""),"",ROUND(($Q43-$B43)*24,1))</f>
        <v/>
      </c>
    </row>
    <row r="44">
      <c r="A44">
        <f>IF($B44="","","SAK-"&amp;TEXT(ROW()-1,"0000"))</f>
        <v/>
      </c>
      <c r="B44" s="8">
        <f>IF($C44&amp;$H44="","",IF($B44="",NOW(),$B44))</f>
        <v/>
      </c>
      <c r="J44">
        <f>IF($F44="","",IFERROR(VLOOKUP($F44,Oppsett!$E$4:$F$11,2,FALSE),"– ikke tildelt –"))</f>
        <v/>
      </c>
      <c r="L44">
        <f>IF($B44="","",IF($K44&lt;&gt;"",$K44,$J44))</f>
        <v/>
      </c>
      <c r="N44" s="8">
        <f>IF(OR($B44="",$G44=""),"",$B44+VLOOKUP($G44,Oppsett!$H$4:$J$7,2,FALSE)/24)</f>
        <v/>
      </c>
      <c r="O44" s="8">
        <f>IF(OR($B44="",$G44=""),"",$B44+VLOOKUP($G44,Oppsett!$H$4:$J$7,3,FALSE)/24)</f>
        <v/>
      </c>
      <c r="P44" s="8" t="n"/>
      <c r="Q44" s="8" t="n"/>
      <c r="R44">
        <f>IF($B44="","",IF($P44&lt;&gt;"",IF($P44&lt;=$N44,"OK","Påbegynt for sent"),IF(NOW()&gt;$N44,"FORFALT","Innen frist")))</f>
        <v/>
      </c>
      <c r="S44">
        <f>IF($B44="","",IF($Q44&lt;&gt;"",IF($Q44&lt;=$O44,"OK","Løst for sent"),IF(NOW()&gt;$O44,"FORFALT","Innen frist")))</f>
        <v/>
      </c>
      <c r="T44" s="10">
        <f>IF(OR($B44="",$Q44=""),"",ROUND(($Q44-$B44)*24,1))</f>
        <v/>
      </c>
    </row>
    <row r="45">
      <c r="A45">
        <f>IF($B45="","","SAK-"&amp;TEXT(ROW()-1,"0000"))</f>
        <v/>
      </c>
      <c r="B45" s="8">
        <f>IF($C45&amp;$H45="","",IF($B45="",NOW(),$B45))</f>
        <v/>
      </c>
      <c r="J45">
        <f>IF($F45="","",IFERROR(VLOOKUP($F45,Oppsett!$E$4:$F$11,2,FALSE),"– ikke tildelt –"))</f>
        <v/>
      </c>
      <c r="L45">
        <f>IF($B45="","",IF($K45&lt;&gt;"",$K45,$J45))</f>
        <v/>
      </c>
      <c r="N45" s="8">
        <f>IF(OR($B45="",$G45=""),"",$B45+VLOOKUP($G45,Oppsett!$H$4:$J$7,2,FALSE)/24)</f>
        <v/>
      </c>
      <c r="O45" s="8">
        <f>IF(OR($B45="",$G45=""),"",$B45+VLOOKUP($G45,Oppsett!$H$4:$J$7,3,FALSE)/24)</f>
        <v/>
      </c>
      <c r="P45" s="8" t="n"/>
      <c r="Q45" s="8" t="n"/>
      <c r="R45">
        <f>IF($B45="","",IF($P45&lt;&gt;"",IF($P45&lt;=$N45,"OK","Påbegynt for sent"),IF(NOW()&gt;$N45,"FORFALT","Innen frist")))</f>
        <v/>
      </c>
      <c r="S45">
        <f>IF($B45="","",IF($Q45&lt;&gt;"",IF($Q45&lt;=$O45,"OK","Løst for sent"),IF(NOW()&gt;$O45,"FORFALT","Innen frist")))</f>
        <v/>
      </c>
      <c r="T45" s="10">
        <f>IF(OR($B45="",$Q45=""),"",ROUND(($Q45-$B45)*24,1))</f>
        <v/>
      </c>
    </row>
    <row r="46">
      <c r="A46">
        <f>IF($B46="","","SAK-"&amp;TEXT(ROW()-1,"0000"))</f>
        <v/>
      </c>
      <c r="B46" s="8">
        <f>IF($C46&amp;$H46="","",IF($B46="",NOW(),$B46))</f>
        <v/>
      </c>
      <c r="J46">
        <f>IF($F46="","",IFERROR(VLOOKUP($F46,Oppsett!$E$4:$F$11,2,FALSE),"– ikke tildelt –"))</f>
        <v/>
      </c>
      <c r="L46">
        <f>IF($B46="","",IF($K46&lt;&gt;"",$K46,$J46))</f>
        <v/>
      </c>
      <c r="N46" s="8">
        <f>IF(OR($B46="",$G46=""),"",$B46+VLOOKUP($G46,Oppsett!$H$4:$J$7,2,FALSE)/24)</f>
        <v/>
      </c>
      <c r="O46" s="8">
        <f>IF(OR($B46="",$G46=""),"",$B46+VLOOKUP($G46,Oppsett!$H$4:$J$7,3,FALSE)/24)</f>
        <v/>
      </c>
      <c r="P46" s="8" t="n"/>
      <c r="Q46" s="8" t="n"/>
      <c r="R46">
        <f>IF($B46="","",IF($P46&lt;&gt;"",IF($P46&lt;=$N46,"OK","Påbegynt for sent"),IF(NOW()&gt;$N46,"FORFALT","Innen frist")))</f>
        <v/>
      </c>
      <c r="S46">
        <f>IF($B46="","",IF($Q46&lt;&gt;"",IF($Q46&lt;=$O46,"OK","Løst for sent"),IF(NOW()&gt;$O46,"FORFALT","Innen frist")))</f>
        <v/>
      </c>
      <c r="T46" s="10">
        <f>IF(OR($B46="",$Q46=""),"",ROUND(($Q46-$B46)*24,1))</f>
        <v/>
      </c>
    </row>
    <row r="47">
      <c r="A47">
        <f>IF($B47="","","SAK-"&amp;TEXT(ROW()-1,"0000"))</f>
        <v/>
      </c>
      <c r="B47" s="8">
        <f>IF($C47&amp;$H47="","",IF($B47="",NOW(),$B47))</f>
        <v/>
      </c>
      <c r="J47">
        <f>IF($F47="","",IFERROR(VLOOKUP($F47,Oppsett!$E$4:$F$11,2,FALSE),"– ikke tildelt –"))</f>
        <v/>
      </c>
      <c r="L47">
        <f>IF($B47="","",IF($K47&lt;&gt;"",$K47,$J47))</f>
        <v/>
      </c>
      <c r="N47" s="8">
        <f>IF(OR($B47="",$G47=""),"",$B47+VLOOKUP($G47,Oppsett!$H$4:$J$7,2,FALSE)/24)</f>
        <v/>
      </c>
      <c r="O47" s="8">
        <f>IF(OR($B47="",$G47=""),"",$B47+VLOOKUP($G47,Oppsett!$H$4:$J$7,3,FALSE)/24)</f>
        <v/>
      </c>
      <c r="P47" s="8" t="n"/>
      <c r="Q47" s="8" t="n"/>
      <c r="R47">
        <f>IF($B47="","",IF($P47&lt;&gt;"",IF($P47&lt;=$N47,"OK","Påbegynt for sent"),IF(NOW()&gt;$N47,"FORFALT","Innen frist")))</f>
        <v/>
      </c>
      <c r="S47">
        <f>IF($B47="","",IF($Q47&lt;&gt;"",IF($Q47&lt;=$O47,"OK","Løst for sent"),IF(NOW()&gt;$O47,"FORFALT","Innen frist")))</f>
        <v/>
      </c>
      <c r="T47" s="10">
        <f>IF(OR($B47="",$Q47=""),"",ROUND(($Q47-$B47)*24,1))</f>
        <v/>
      </c>
    </row>
    <row r="48">
      <c r="A48">
        <f>IF($B48="","","SAK-"&amp;TEXT(ROW()-1,"0000"))</f>
        <v/>
      </c>
      <c r="B48" s="8">
        <f>IF($C48&amp;$H48="","",IF($B48="",NOW(),$B48))</f>
        <v/>
      </c>
      <c r="J48">
        <f>IF($F48="","",IFERROR(VLOOKUP($F48,Oppsett!$E$4:$F$11,2,FALSE),"– ikke tildelt –"))</f>
        <v/>
      </c>
      <c r="L48">
        <f>IF($B48="","",IF($K48&lt;&gt;"",$K48,$J48))</f>
        <v/>
      </c>
      <c r="N48" s="8">
        <f>IF(OR($B48="",$G48=""),"",$B48+VLOOKUP($G48,Oppsett!$H$4:$J$7,2,FALSE)/24)</f>
        <v/>
      </c>
      <c r="O48" s="8">
        <f>IF(OR($B48="",$G48=""),"",$B48+VLOOKUP($G48,Oppsett!$H$4:$J$7,3,FALSE)/24)</f>
        <v/>
      </c>
      <c r="P48" s="8" t="n"/>
      <c r="Q48" s="8" t="n"/>
      <c r="R48">
        <f>IF($B48="","",IF($P48&lt;&gt;"",IF($P48&lt;=$N48,"OK","Påbegynt for sent"),IF(NOW()&gt;$N48,"FORFALT","Innen frist")))</f>
        <v/>
      </c>
      <c r="S48">
        <f>IF($B48="","",IF($Q48&lt;&gt;"",IF($Q48&lt;=$O48,"OK","Løst for sent"),IF(NOW()&gt;$O48,"FORFALT","Innen frist")))</f>
        <v/>
      </c>
      <c r="T48" s="10">
        <f>IF(OR($B48="",$Q48=""),"",ROUND(($Q48-$B48)*24,1))</f>
        <v/>
      </c>
    </row>
    <row r="49">
      <c r="A49">
        <f>IF($B49="","","SAK-"&amp;TEXT(ROW()-1,"0000"))</f>
        <v/>
      </c>
      <c r="B49" s="8">
        <f>IF($C49&amp;$H49="","",IF($B49="",NOW(),$B49))</f>
        <v/>
      </c>
      <c r="J49">
        <f>IF($F49="","",IFERROR(VLOOKUP($F49,Oppsett!$E$4:$F$11,2,FALSE),"– ikke tildelt –"))</f>
        <v/>
      </c>
      <c r="L49">
        <f>IF($B49="","",IF($K49&lt;&gt;"",$K49,$J49))</f>
        <v/>
      </c>
      <c r="N49" s="8">
        <f>IF(OR($B49="",$G49=""),"",$B49+VLOOKUP($G49,Oppsett!$H$4:$J$7,2,FALSE)/24)</f>
        <v/>
      </c>
      <c r="O49" s="8">
        <f>IF(OR($B49="",$G49=""),"",$B49+VLOOKUP($G49,Oppsett!$H$4:$J$7,3,FALSE)/24)</f>
        <v/>
      </c>
      <c r="P49" s="8" t="n"/>
      <c r="Q49" s="8" t="n"/>
      <c r="R49">
        <f>IF($B49="","",IF($P49&lt;&gt;"",IF($P49&lt;=$N49,"OK","Påbegynt for sent"),IF(NOW()&gt;$N49,"FORFALT","Innen frist")))</f>
        <v/>
      </c>
      <c r="S49">
        <f>IF($B49="","",IF($Q49&lt;&gt;"",IF($Q49&lt;=$O49,"OK","Løst for sent"),IF(NOW()&gt;$O49,"FORFALT","Innen frist")))</f>
        <v/>
      </c>
      <c r="T49" s="10">
        <f>IF(OR($B49="",$Q49=""),"",ROUND(($Q49-$B49)*24,1))</f>
        <v/>
      </c>
    </row>
    <row r="50">
      <c r="A50">
        <f>IF($B50="","","SAK-"&amp;TEXT(ROW()-1,"0000"))</f>
        <v/>
      </c>
      <c r="B50" s="8">
        <f>IF($C50&amp;$H50="","",IF($B50="",NOW(),$B50))</f>
        <v/>
      </c>
      <c r="J50">
        <f>IF($F50="","",IFERROR(VLOOKUP($F50,Oppsett!$E$4:$F$11,2,FALSE),"– ikke tildelt –"))</f>
        <v/>
      </c>
      <c r="L50">
        <f>IF($B50="","",IF($K50&lt;&gt;"",$K50,$J50))</f>
        <v/>
      </c>
      <c r="N50" s="8">
        <f>IF(OR($B50="",$G50=""),"",$B50+VLOOKUP($G50,Oppsett!$H$4:$J$7,2,FALSE)/24)</f>
        <v/>
      </c>
      <c r="O50" s="8">
        <f>IF(OR($B50="",$G50=""),"",$B50+VLOOKUP($G50,Oppsett!$H$4:$J$7,3,FALSE)/24)</f>
        <v/>
      </c>
      <c r="P50" s="8" t="n"/>
      <c r="Q50" s="8" t="n"/>
      <c r="R50">
        <f>IF($B50="","",IF($P50&lt;&gt;"",IF($P50&lt;=$N50,"OK","Påbegynt for sent"),IF(NOW()&gt;$N50,"FORFALT","Innen frist")))</f>
        <v/>
      </c>
      <c r="S50">
        <f>IF($B50="","",IF($Q50&lt;&gt;"",IF($Q50&lt;=$O50,"OK","Løst for sent"),IF(NOW()&gt;$O50,"FORFALT","Innen frist")))</f>
        <v/>
      </c>
      <c r="T50" s="10">
        <f>IF(OR($B50="",$Q50=""),"",ROUND(($Q50-$B50)*24,1))</f>
        <v/>
      </c>
    </row>
    <row r="51">
      <c r="A51">
        <f>IF($B51="","","SAK-"&amp;TEXT(ROW()-1,"0000"))</f>
        <v/>
      </c>
      <c r="B51" s="8">
        <f>IF($C51&amp;$H51="","",IF($B51="",NOW(),$B51))</f>
        <v/>
      </c>
      <c r="J51">
        <f>IF($F51="","",IFERROR(VLOOKUP($F51,Oppsett!$E$4:$F$11,2,FALSE),"– ikke tildelt –"))</f>
        <v/>
      </c>
      <c r="L51">
        <f>IF($B51="","",IF($K51&lt;&gt;"",$K51,$J51))</f>
        <v/>
      </c>
      <c r="N51" s="8">
        <f>IF(OR($B51="",$G51=""),"",$B51+VLOOKUP($G51,Oppsett!$H$4:$J$7,2,FALSE)/24)</f>
        <v/>
      </c>
      <c r="O51" s="8">
        <f>IF(OR($B51="",$G51=""),"",$B51+VLOOKUP($G51,Oppsett!$H$4:$J$7,3,FALSE)/24)</f>
        <v/>
      </c>
      <c r="P51" s="8" t="n"/>
      <c r="Q51" s="8" t="n"/>
      <c r="R51">
        <f>IF($B51="","",IF($P51&lt;&gt;"",IF($P51&lt;=$N51,"OK","Påbegynt for sent"),IF(NOW()&gt;$N51,"FORFALT","Innen frist")))</f>
        <v/>
      </c>
      <c r="S51">
        <f>IF($B51="","",IF($Q51&lt;&gt;"",IF($Q51&lt;=$O51,"OK","Løst for sent"),IF(NOW()&gt;$O51,"FORFALT","Innen frist")))</f>
        <v/>
      </c>
      <c r="T51" s="10">
        <f>IF(OR($B51="",$Q51=""),"",ROUND(($Q51-$B51)*24,1))</f>
        <v/>
      </c>
    </row>
    <row r="52">
      <c r="A52">
        <f>IF($B52="","","SAK-"&amp;TEXT(ROW()-1,"0000"))</f>
        <v/>
      </c>
      <c r="B52" s="8">
        <f>IF($C52&amp;$H52="","",IF($B52="",NOW(),$B52))</f>
        <v/>
      </c>
      <c r="J52">
        <f>IF($F52="","",IFERROR(VLOOKUP($F52,Oppsett!$E$4:$F$11,2,FALSE),"– ikke tildelt –"))</f>
        <v/>
      </c>
      <c r="L52">
        <f>IF($B52="","",IF($K52&lt;&gt;"",$K52,$J52))</f>
        <v/>
      </c>
      <c r="N52" s="8">
        <f>IF(OR($B52="",$G52=""),"",$B52+VLOOKUP($G52,Oppsett!$H$4:$J$7,2,FALSE)/24)</f>
        <v/>
      </c>
      <c r="O52" s="8">
        <f>IF(OR($B52="",$G52=""),"",$B52+VLOOKUP($G52,Oppsett!$H$4:$J$7,3,FALSE)/24)</f>
        <v/>
      </c>
      <c r="P52" s="8" t="n"/>
      <c r="Q52" s="8" t="n"/>
      <c r="R52">
        <f>IF($B52="","",IF($P52&lt;&gt;"",IF($P52&lt;=$N52,"OK","Påbegynt for sent"),IF(NOW()&gt;$N52,"FORFALT","Innen frist")))</f>
        <v/>
      </c>
      <c r="S52">
        <f>IF($B52="","",IF($Q52&lt;&gt;"",IF($Q52&lt;=$O52,"OK","Løst for sent"),IF(NOW()&gt;$O52,"FORFALT","Innen frist")))</f>
        <v/>
      </c>
      <c r="T52" s="10">
        <f>IF(OR($B52="",$Q52=""),"",ROUND(($Q52-$B52)*24,1))</f>
        <v/>
      </c>
    </row>
    <row r="53">
      <c r="A53">
        <f>IF($B53="","","SAK-"&amp;TEXT(ROW()-1,"0000"))</f>
        <v/>
      </c>
      <c r="B53" s="8">
        <f>IF($C53&amp;$H53="","",IF($B53="",NOW(),$B53))</f>
        <v/>
      </c>
      <c r="J53">
        <f>IF($F53="","",IFERROR(VLOOKUP($F53,Oppsett!$E$4:$F$11,2,FALSE),"– ikke tildelt –"))</f>
        <v/>
      </c>
      <c r="L53">
        <f>IF($B53="","",IF($K53&lt;&gt;"",$K53,$J53))</f>
        <v/>
      </c>
      <c r="N53" s="8">
        <f>IF(OR($B53="",$G53=""),"",$B53+VLOOKUP($G53,Oppsett!$H$4:$J$7,2,FALSE)/24)</f>
        <v/>
      </c>
      <c r="O53" s="8">
        <f>IF(OR($B53="",$G53=""),"",$B53+VLOOKUP($G53,Oppsett!$H$4:$J$7,3,FALSE)/24)</f>
        <v/>
      </c>
      <c r="P53" s="8" t="n"/>
      <c r="Q53" s="8" t="n"/>
      <c r="R53">
        <f>IF($B53="","",IF($P53&lt;&gt;"",IF($P53&lt;=$N53,"OK","Påbegynt for sent"),IF(NOW()&gt;$N53,"FORFALT","Innen frist")))</f>
        <v/>
      </c>
      <c r="S53">
        <f>IF($B53="","",IF($Q53&lt;&gt;"",IF($Q53&lt;=$O53,"OK","Løst for sent"),IF(NOW()&gt;$O53,"FORFALT","Innen frist")))</f>
        <v/>
      </c>
      <c r="T53" s="10">
        <f>IF(OR($B53="",$Q53=""),"",ROUND(($Q53-$B53)*24,1))</f>
        <v/>
      </c>
    </row>
    <row r="54">
      <c r="A54">
        <f>IF($B54="","","SAK-"&amp;TEXT(ROW()-1,"0000"))</f>
        <v/>
      </c>
      <c r="B54" s="8">
        <f>IF($C54&amp;$H54="","",IF($B54="",NOW(),$B54))</f>
        <v/>
      </c>
      <c r="J54">
        <f>IF($F54="","",IFERROR(VLOOKUP($F54,Oppsett!$E$4:$F$11,2,FALSE),"– ikke tildelt –"))</f>
        <v/>
      </c>
      <c r="L54">
        <f>IF($B54="","",IF($K54&lt;&gt;"",$K54,$J54))</f>
        <v/>
      </c>
      <c r="N54" s="8">
        <f>IF(OR($B54="",$G54=""),"",$B54+VLOOKUP($G54,Oppsett!$H$4:$J$7,2,FALSE)/24)</f>
        <v/>
      </c>
      <c r="O54" s="8">
        <f>IF(OR($B54="",$G54=""),"",$B54+VLOOKUP($G54,Oppsett!$H$4:$J$7,3,FALSE)/24)</f>
        <v/>
      </c>
      <c r="P54" s="8" t="n"/>
      <c r="Q54" s="8" t="n"/>
      <c r="R54">
        <f>IF($B54="","",IF($P54&lt;&gt;"",IF($P54&lt;=$N54,"OK","Påbegynt for sent"),IF(NOW()&gt;$N54,"FORFALT","Innen frist")))</f>
        <v/>
      </c>
      <c r="S54">
        <f>IF($B54="","",IF($Q54&lt;&gt;"",IF($Q54&lt;=$O54,"OK","Løst for sent"),IF(NOW()&gt;$O54,"FORFALT","Innen frist")))</f>
        <v/>
      </c>
      <c r="T54" s="10">
        <f>IF(OR($B54="",$Q54=""),"",ROUND(($Q54-$B54)*24,1))</f>
        <v/>
      </c>
    </row>
    <row r="55">
      <c r="A55">
        <f>IF($B55="","","SAK-"&amp;TEXT(ROW()-1,"0000"))</f>
        <v/>
      </c>
      <c r="B55" s="8">
        <f>IF($C55&amp;$H55="","",IF($B55="",NOW(),$B55))</f>
        <v/>
      </c>
      <c r="J55">
        <f>IF($F55="","",IFERROR(VLOOKUP($F55,Oppsett!$E$4:$F$11,2,FALSE),"– ikke tildelt –"))</f>
        <v/>
      </c>
      <c r="L55">
        <f>IF($B55="","",IF($K55&lt;&gt;"",$K55,$J55))</f>
        <v/>
      </c>
      <c r="N55" s="8">
        <f>IF(OR($B55="",$G55=""),"",$B55+VLOOKUP($G55,Oppsett!$H$4:$J$7,2,FALSE)/24)</f>
        <v/>
      </c>
      <c r="O55" s="8">
        <f>IF(OR($B55="",$G55=""),"",$B55+VLOOKUP($G55,Oppsett!$H$4:$J$7,3,FALSE)/24)</f>
        <v/>
      </c>
      <c r="P55" s="8" t="n"/>
      <c r="Q55" s="8" t="n"/>
      <c r="R55">
        <f>IF($B55="","",IF($P55&lt;&gt;"",IF($P55&lt;=$N55,"OK","Påbegynt for sent"),IF(NOW()&gt;$N55,"FORFALT","Innen frist")))</f>
        <v/>
      </c>
      <c r="S55">
        <f>IF($B55="","",IF($Q55&lt;&gt;"",IF($Q55&lt;=$O55,"OK","Løst for sent"),IF(NOW()&gt;$O55,"FORFALT","Innen frist")))</f>
        <v/>
      </c>
      <c r="T55" s="10">
        <f>IF(OR($B55="",$Q55=""),"",ROUND(($Q55-$B55)*24,1))</f>
        <v/>
      </c>
    </row>
    <row r="56">
      <c r="A56">
        <f>IF($B56="","","SAK-"&amp;TEXT(ROW()-1,"0000"))</f>
        <v/>
      </c>
      <c r="B56" s="8">
        <f>IF($C56&amp;$H56="","",IF($B56="",NOW(),$B56))</f>
        <v/>
      </c>
      <c r="J56">
        <f>IF($F56="","",IFERROR(VLOOKUP($F56,Oppsett!$E$4:$F$11,2,FALSE),"– ikke tildelt –"))</f>
        <v/>
      </c>
      <c r="L56">
        <f>IF($B56="","",IF($K56&lt;&gt;"",$K56,$J56))</f>
        <v/>
      </c>
      <c r="N56" s="8">
        <f>IF(OR($B56="",$G56=""),"",$B56+VLOOKUP($G56,Oppsett!$H$4:$J$7,2,FALSE)/24)</f>
        <v/>
      </c>
      <c r="O56" s="8">
        <f>IF(OR($B56="",$G56=""),"",$B56+VLOOKUP($G56,Oppsett!$H$4:$J$7,3,FALSE)/24)</f>
        <v/>
      </c>
      <c r="P56" s="8" t="n"/>
      <c r="Q56" s="8" t="n"/>
      <c r="R56">
        <f>IF($B56="","",IF($P56&lt;&gt;"",IF($P56&lt;=$N56,"OK","Påbegynt for sent"),IF(NOW()&gt;$N56,"FORFALT","Innen frist")))</f>
        <v/>
      </c>
      <c r="S56">
        <f>IF($B56="","",IF($Q56&lt;&gt;"",IF($Q56&lt;=$O56,"OK","Løst for sent"),IF(NOW()&gt;$O56,"FORFALT","Innen frist")))</f>
        <v/>
      </c>
      <c r="T56" s="10">
        <f>IF(OR($B56="",$Q56=""),"",ROUND(($Q56-$B56)*24,1))</f>
        <v/>
      </c>
    </row>
    <row r="57">
      <c r="A57">
        <f>IF($B57="","","SAK-"&amp;TEXT(ROW()-1,"0000"))</f>
        <v/>
      </c>
      <c r="B57" s="8">
        <f>IF($C57&amp;$H57="","",IF($B57="",NOW(),$B57))</f>
        <v/>
      </c>
      <c r="J57">
        <f>IF($F57="","",IFERROR(VLOOKUP($F57,Oppsett!$E$4:$F$11,2,FALSE),"– ikke tildelt –"))</f>
        <v/>
      </c>
      <c r="L57">
        <f>IF($B57="","",IF($K57&lt;&gt;"",$K57,$J57))</f>
        <v/>
      </c>
      <c r="N57" s="8">
        <f>IF(OR($B57="",$G57=""),"",$B57+VLOOKUP($G57,Oppsett!$H$4:$J$7,2,FALSE)/24)</f>
        <v/>
      </c>
      <c r="O57" s="8">
        <f>IF(OR($B57="",$G57=""),"",$B57+VLOOKUP($G57,Oppsett!$H$4:$J$7,3,FALSE)/24)</f>
        <v/>
      </c>
      <c r="P57" s="8" t="n"/>
      <c r="Q57" s="8" t="n"/>
      <c r="R57">
        <f>IF($B57="","",IF($P57&lt;&gt;"",IF($P57&lt;=$N57,"OK","Påbegynt for sent"),IF(NOW()&gt;$N57,"FORFALT","Innen frist")))</f>
        <v/>
      </c>
      <c r="S57">
        <f>IF($B57="","",IF($Q57&lt;&gt;"",IF($Q57&lt;=$O57,"OK","Løst for sent"),IF(NOW()&gt;$O57,"FORFALT","Innen frist")))</f>
        <v/>
      </c>
      <c r="T57" s="10">
        <f>IF(OR($B57="",$Q57=""),"",ROUND(($Q57-$B57)*24,1))</f>
        <v/>
      </c>
    </row>
    <row r="58">
      <c r="A58">
        <f>IF($B58="","","SAK-"&amp;TEXT(ROW()-1,"0000"))</f>
        <v/>
      </c>
      <c r="B58" s="8">
        <f>IF($C58&amp;$H58="","",IF($B58="",NOW(),$B58))</f>
        <v/>
      </c>
      <c r="J58">
        <f>IF($F58="","",IFERROR(VLOOKUP($F58,Oppsett!$E$4:$F$11,2,FALSE),"– ikke tildelt –"))</f>
        <v/>
      </c>
      <c r="L58">
        <f>IF($B58="","",IF($K58&lt;&gt;"",$K58,$J58))</f>
        <v/>
      </c>
      <c r="N58" s="8">
        <f>IF(OR($B58="",$G58=""),"",$B58+VLOOKUP($G58,Oppsett!$H$4:$J$7,2,FALSE)/24)</f>
        <v/>
      </c>
      <c r="O58" s="8">
        <f>IF(OR($B58="",$G58=""),"",$B58+VLOOKUP($G58,Oppsett!$H$4:$J$7,3,FALSE)/24)</f>
        <v/>
      </c>
      <c r="P58" s="8" t="n"/>
      <c r="Q58" s="8" t="n"/>
      <c r="R58">
        <f>IF($B58="","",IF($P58&lt;&gt;"",IF($P58&lt;=$N58,"OK","Påbegynt for sent"),IF(NOW()&gt;$N58,"FORFALT","Innen frist")))</f>
        <v/>
      </c>
      <c r="S58">
        <f>IF($B58="","",IF($Q58&lt;&gt;"",IF($Q58&lt;=$O58,"OK","Løst for sent"),IF(NOW()&gt;$O58,"FORFALT","Innen frist")))</f>
        <v/>
      </c>
      <c r="T58" s="10">
        <f>IF(OR($B58="",$Q58=""),"",ROUND(($Q58-$B58)*24,1))</f>
        <v/>
      </c>
    </row>
    <row r="59">
      <c r="A59">
        <f>IF($B59="","","SAK-"&amp;TEXT(ROW()-1,"0000"))</f>
        <v/>
      </c>
      <c r="B59" s="8">
        <f>IF($C59&amp;$H59="","",IF($B59="",NOW(),$B59))</f>
        <v/>
      </c>
      <c r="J59">
        <f>IF($F59="","",IFERROR(VLOOKUP($F59,Oppsett!$E$4:$F$11,2,FALSE),"– ikke tildelt –"))</f>
        <v/>
      </c>
      <c r="L59">
        <f>IF($B59="","",IF($K59&lt;&gt;"",$K59,$J59))</f>
        <v/>
      </c>
      <c r="N59" s="8">
        <f>IF(OR($B59="",$G59=""),"",$B59+VLOOKUP($G59,Oppsett!$H$4:$J$7,2,FALSE)/24)</f>
        <v/>
      </c>
      <c r="O59" s="8">
        <f>IF(OR($B59="",$G59=""),"",$B59+VLOOKUP($G59,Oppsett!$H$4:$J$7,3,FALSE)/24)</f>
        <v/>
      </c>
      <c r="P59" s="8" t="n"/>
      <c r="Q59" s="8" t="n"/>
      <c r="R59">
        <f>IF($B59="","",IF($P59&lt;&gt;"",IF($P59&lt;=$N59,"OK","Påbegynt for sent"),IF(NOW()&gt;$N59,"FORFALT","Innen frist")))</f>
        <v/>
      </c>
      <c r="S59">
        <f>IF($B59="","",IF($Q59&lt;&gt;"",IF($Q59&lt;=$O59,"OK","Løst for sent"),IF(NOW()&gt;$O59,"FORFALT","Innen frist")))</f>
        <v/>
      </c>
      <c r="T59" s="10">
        <f>IF(OR($B59="",$Q59=""),"",ROUND(($Q59-$B59)*24,1))</f>
        <v/>
      </c>
    </row>
    <row r="60">
      <c r="A60">
        <f>IF($B60="","","SAK-"&amp;TEXT(ROW()-1,"0000"))</f>
        <v/>
      </c>
      <c r="B60" s="8">
        <f>IF($C60&amp;$H60="","",IF($B60="",NOW(),$B60))</f>
        <v/>
      </c>
      <c r="J60">
        <f>IF($F60="","",IFERROR(VLOOKUP($F60,Oppsett!$E$4:$F$11,2,FALSE),"– ikke tildelt –"))</f>
        <v/>
      </c>
      <c r="L60">
        <f>IF($B60="","",IF($K60&lt;&gt;"",$K60,$J60))</f>
        <v/>
      </c>
      <c r="N60" s="8">
        <f>IF(OR($B60="",$G60=""),"",$B60+VLOOKUP($G60,Oppsett!$H$4:$J$7,2,FALSE)/24)</f>
        <v/>
      </c>
      <c r="O60" s="8">
        <f>IF(OR($B60="",$G60=""),"",$B60+VLOOKUP($G60,Oppsett!$H$4:$J$7,3,FALSE)/24)</f>
        <v/>
      </c>
      <c r="P60" s="8" t="n"/>
      <c r="Q60" s="8" t="n"/>
      <c r="R60">
        <f>IF($B60="","",IF($P60&lt;&gt;"",IF($P60&lt;=$N60,"OK","Påbegynt for sent"),IF(NOW()&gt;$N60,"FORFALT","Innen frist")))</f>
        <v/>
      </c>
      <c r="S60">
        <f>IF($B60="","",IF($Q60&lt;&gt;"",IF($Q60&lt;=$O60,"OK","Løst for sent"),IF(NOW()&gt;$O60,"FORFALT","Innen frist")))</f>
        <v/>
      </c>
      <c r="T60" s="10">
        <f>IF(OR($B60="",$Q60=""),"",ROUND(($Q60-$B60)*24,1))</f>
        <v/>
      </c>
    </row>
    <row r="61">
      <c r="A61">
        <f>IF($B61="","","SAK-"&amp;TEXT(ROW()-1,"0000"))</f>
        <v/>
      </c>
      <c r="B61" s="8">
        <f>IF($C61&amp;$H61="","",IF($B61="",NOW(),$B61))</f>
        <v/>
      </c>
      <c r="J61">
        <f>IF($F61="","",IFERROR(VLOOKUP($F61,Oppsett!$E$4:$F$11,2,FALSE),"– ikke tildelt –"))</f>
        <v/>
      </c>
      <c r="L61">
        <f>IF($B61="","",IF($K61&lt;&gt;"",$K61,$J61))</f>
        <v/>
      </c>
      <c r="N61" s="8">
        <f>IF(OR($B61="",$G61=""),"",$B61+VLOOKUP($G61,Oppsett!$H$4:$J$7,2,FALSE)/24)</f>
        <v/>
      </c>
      <c r="O61" s="8">
        <f>IF(OR($B61="",$G61=""),"",$B61+VLOOKUP($G61,Oppsett!$H$4:$J$7,3,FALSE)/24)</f>
        <v/>
      </c>
      <c r="P61" s="8" t="n"/>
      <c r="Q61" s="8" t="n"/>
      <c r="R61">
        <f>IF($B61="","",IF($P61&lt;&gt;"",IF($P61&lt;=$N61,"OK","Påbegynt for sent"),IF(NOW()&gt;$N61,"FORFALT","Innen frist")))</f>
        <v/>
      </c>
      <c r="S61">
        <f>IF($B61="","",IF($Q61&lt;&gt;"",IF($Q61&lt;=$O61,"OK","Løst for sent"),IF(NOW()&gt;$O61,"FORFALT","Innen frist")))</f>
        <v/>
      </c>
      <c r="T61" s="10">
        <f>IF(OR($B61="",$Q61=""),"",ROUND(($Q61-$B61)*24,1))</f>
        <v/>
      </c>
    </row>
    <row r="62">
      <c r="A62">
        <f>IF($B62="","","SAK-"&amp;TEXT(ROW()-1,"0000"))</f>
        <v/>
      </c>
      <c r="B62" s="8">
        <f>IF($C62&amp;$H62="","",IF($B62="",NOW(),$B62))</f>
        <v/>
      </c>
      <c r="J62">
        <f>IF($F62="","",IFERROR(VLOOKUP($F62,Oppsett!$E$4:$F$11,2,FALSE),"– ikke tildelt –"))</f>
        <v/>
      </c>
      <c r="L62">
        <f>IF($B62="","",IF($K62&lt;&gt;"",$K62,$J62))</f>
        <v/>
      </c>
      <c r="N62" s="8">
        <f>IF(OR($B62="",$G62=""),"",$B62+VLOOKUP($G62,Oppsett!$H$4:$J$7,2,FALSE)/24)</f>
        <v/>
      </c>
      <c r="O62" s="8">
        <f>IF(OR($B62="",$G62=""),"",$B62+VLOOKUP($G62,Oppsett!$H$4:$J$7,3,FALSE)/24)</f>
        <v/>
      </c>
      <c r="P62" s="8" t="n"/>
      <c r="Q62" s="8" t="n"/>
      <c r="R62">
        <f>IF($B62="","",IF($P62&lt;&gt;"",IF($P62&lt;=$N62,"OK","Påbegynt for sent"),IF(NOW()&gt;$N62,"FORFALT","Innen frist")))</f>
        <v/>
      </c>
      <c r="S62">
        <f>IF($B62="","",IF($Q62&lt;&gt;"",IF($Q62&lt;=$O62,"OK","Løst for sent"),IF(NOW()&gt;$O62,"FORFALT","Innen frist")))</f>
        <v/>
      </c>
      <c r="T62" s="10">
        <f>IF(OR($B62="",$Q62=""),"",ROUND(($Q62-$B62)*24,1))</f>
        <v/>
      </c>
    </row>
    <row r="63">
      <c r="A63">
        <f>IF($B63="","","SAK-"&amp;TEXT(ROW()-1,"0000"))</f>
        <v/>
      </c>
      <c r="B63" s="8">
        <f>IF($C63&amp;$H63="","",IF($B63="",NOW(),$B63))</f>
        <v/>
      </c>
      <c r="J63">
        <f>IF($F63="","",IFERROR(VLOOKUP($F63,Oppsett!$E$4:$F$11,2,FALSE),"– ikke tildelt –"))</f>
        <v/>
      </c>
      <c r="L63">
        <f>IF($B63="","",IF($K63&lt;&gt;"",$K63,$J63))</f>
        <v/>
      </c>
      <c r="N63" s="8">
        <f>IF(OR($B63="",$G63=""),"",$B63+VLOOKUP($G63,Oppsett!$H$4:$J$7,2,FALSE)/24)</f>
        <v/>
      </c>
      <c r="O63" s="8">
        <f>IF(OR($B63="",$G63=""),"",$B63+VLOOKUP($G63,Oppsett!$H$4:$J$7,3,FALSE)/24)</f>
        <v/>
      </c>
      <c r="P63" s="8" t="n"/>
      <c r="Q63" s="8" t="n"/>
      <c r="R63">
        <f>IF($B63="","",IF($P63&lt;&gt;"",IF($P63&lt;=$N63,"OK","Påbegynt for sent"),IF(NOW()&gt;$N63,"FORFALT","Innen frist")))</f>
        <v/>
      </c>
      <c r="S63">
        <f>IF($B63="","",IF($Q63&lt;&gt;"",IF($Q63&lt;=$O63,"OK","Løst for sent"),IF(NOW()&gt;$O63,"FORFALT","Innen frist")))</f>
        <v/>
      </c>
      <c r="T63" s="10">
        <f>IF(OR($B63="",$Q63=""),"",ROUND(($Q63-$B63)*24,1))</f>
        <v/>
      </c>
    </row>
    <row r="64">
      <c r="A64">
        <f>IF($B64="","","SAK-"&amp;TEXT(ROW()-1,"0000"))</f>
        <v/>
      </c>
      <c r="B64" s="8">
        <f>IF($C64&amp;$H64="","",IF($B64="",NOW(),$B64))</f>
        <v/>
      </c>
      <c r="J64">
        <f>IF($F64="","",IFERROR(VLOOKUP($F64,Oppsett!$E$4:$F$11,2,FALSE),"– ikke tildelt –"))</f>
        <v/>
      </c>
      <c r="L64">
        <f>IF($B64="","",IF($K64&lt;&gt;"",$K64,$J64))</f>
        <v/>
      </c>
      <c r="N64" s="8">
        <f>IF(OR($B64="",$G64=""),"",$B64+VLOOKUP($G64,Oppsett!$H$4:$J$7,2,FALSE)/24)</f>
        <v/>
      </c>
      <c r="O64" s="8">
        <f>IF(OR($B64="",$G64=""),"",$B64+VLOOKUP($G64,Oppsett!$H$4:$J$7,3,FALSE)/24)</f>
        <v/>
      </c>
      <c r="P64" s="8" t="n"/>
      <c r="Q64" s="8" t="n"/>
      <c r="R64">
        <f>IF($B64="","",IF($P64&lt;&gt;"",IF($P64&lt;=$N64,"OK","Påbegynt for sent"),IF(NOW()&gt;$N64,"FORFALT","Innen frist")))</f>
        <v/>
      </c>
      <c r="S64">
        <f>IF($B64="","",IF($Q64&lt;&gt;"",IF($Q64&lt;=$O64,"OK","Løst for sent"),IF(NOW()&gt;$O64,"FORFALT","Innen frist")))</f>
        <v/>
      </c>
      <c r="T64" s="10">
        <f>IF(OR($B64="",$Q64=""),"",ROUND(($Q64-$B64)*24,1))</f>
        <v/>
      </c>
    </row>
    <row r="65">
      <c r="A65">
        <f>IF($B65="","","SAK-"&amp;TEXT(ROW()-1,"0000"))</f>
        <v/>
      </c>
      <c r="B65" s="8">
        <f>IF($C65&amp;$H65="","",IF($B65="",NOW(),$B65))</f>
        <v/>
      </c>
      <c r="J65">
        <f>IF($F65="","",IFERROR(VLOOKUP($F65,Oppsett!$E$4:$F$11,2,FALSE),"– ikke tildelt –"))</f>
        <v/>
      </c>
      <c r="L65">
        <f>IF($B65="","",IF($K65&lt;&gt;"",$K65,$J65))</f>
        <v/>
      </c>
      <c r="N65" s="8">
        <f>IF(OR($B65="",$G65=""),"",$B65+VLOOKUP($G65,Oppsett!$H$4:$J$7,2,FALSE)/24)</f>
        <v/>
      </c>
      <c r="O65" s="8">
        <f>IF(OR($B65="",$G65=""),"",$B65+VLOOKUP($G65,Oppsett!$H$4:$J$7,3,FALSE)/24)</f>
        <v/>
      </c>
      <c r="P65" s="8" t="n"/>
      <c r="Q65" s="8" t="n"/>
      <c r="R65">
        <f>IF($B65="","",IF($P65&lt;&gt;"",IF($P65&lt;=$N65,"OK","Påbegynt for sent"),IF(NOW()&gt;$N65,"FORFALT","Innen frist")))</f>
        <v/>
      </c>
      <c r="S65">
        <f>IF($B65="","",IF($Q65&lt;&gt;"",IF($Q65&lt;=$O65,"OK","Løst for sent"),IF(NOW()&gt;$O65,"FORFALT","Innen frist")))</f>
        <v/>
      </c>
      <c r="T65" s="10">
        <f>IF(OR($B65="",$Q65=""),"",ROUND(($Q65-$B65)*24,1))</f>
        <v/>
      </c>
    </row>
    <row r="66">
      <c r="A66">
        <f>IF($B66="","","SAK-"&amp;TEXT(ROW()-1,"0000"))</f>
        <v/>
      </c>
      <c r="B66" s="8">
        <f>IF($C66&amp;$H66="","",IF($B66="",NOW(),$B66))</f>
        <v/>
      </c>
      <c r="J66">
        <f>IF($F66="","",IFERROR(VLOOKUP($F66,Oppsett!$E$4:$F$11,2,FALSE),"– ikke tildelt –"))</f>
        <v/>
      </c>
      <c r="L66">
        <f>IF($B66="","",IF($K66&lt;&gt;"",$K66,$J66))</f>
        <v/>
      </c>
      <c r="N66" s="8">
        <f>IF(OR($B66="",$G66=""),"",$B66+VLOOKUP($G66,Oppsett!$H$4:$J$7,2,FALSE)/24)</f>
        <v/>
      </c>
      <c r="O66" s="8">
        <f>IF(OR($B66="",$G66=""),"",$B66+VLOOKUP($G66,Oppsett!$H$4:$J$7,3,FALSE)/24)</f>
        <v/>
      </c>
      <c r="P66" s="8" t="n"/>
      <c r="Q66" s="8" t="n"/>
      <c r="R66">
        <f>IF($B66="","",IF($P66&lt;&gt;"",IF($P66&lt;=$N66,"OK","Påbegynt for sent"),IF(NOW()&gt;$N66,"FORFALT","Innen frist")))</f>
        <v/>
      </c>
      <c r="S66">
        <f>IF($B66="","",IF($Q66&lt;&gt;"",IF($Q66&lt;=$O66,"OK","Løst for sent"),IF(NOW()&gt;$O66,"FORFALT","Innen frist")))</f>
        <v/>
      </c>
      <c r="T66" s="10">
        <f>IF(OR($B66="",$Q66=""),"",ROUND(($Q66-$B66)*24,1))</f>
        <v/>
      </c>
    </row>
    <row r="67">
      <c r="A67">
        <f>IF($B67="","","SAK-"&amp;TEXT(ROW()-1,"0000"))</f>
        <v/>
      </c>
      <c r="B67" s="8">
        <f>IF($C67&amp;$H67="","",IF($B67="",NOW(),$B67))</f>
        <v/>
      </c>
      <c r="J67">
        <f>IF($F67="","",IFERROR(VLOOKUP($F67,Oppsett!$E$4:$F$11,2,FALSE),"– ikke tildelt –"))</f>
        <v/>
      </c>
      <c r="L67">
        <f>IF($B67="","",IF($K67&lt;&gt;"",$K67,$J67))</f>
        <v/>
      </c>
      <c r="N67" s="8">
        <f>IF(OR($B67="",$G67=""),"",$B67+VLOOKUP($G67,Oppsett!$H$4:$J$7,2,FALSE)/24)</f>
        <v/>
      </c>
      <c r="O67" s="8">
        <f>IF(OR($B67="",$G67=""),"",$B67+VLOOKUP($G67,Oppsett!$H$4:$J$7,3,FALSE)/24)</f>
        <v/>
      </c>
      <c r="P67" s="8" t="n"/>
      <c r="Q67" s="8" t="n"/>
      <c r="R67">
        <f>IF($B67="","",IF($P67&lt;&gt;"",IF($P67&lt;=$N67,"OK","Påbegynt for sent"),IF(NOW()&gt;$N67,"FORFALT","Innen frist")))</f>
        <v/>
      </c>
      <c r="S67">
        <f>IF($B67="","",IF($Q67&lt;&gt;"",IF($Q67&lt;=$O67,"OK","Løst for sent"),IF(NOW()&gt;$O67,"FORFALT","Innen frist")))</f>
        <v/>
      </c>
      <c r="T67" s="10">
        <f>IF(OR($B67="",$Q67=""),"",ROUND(($Q67-$B67)*24,1))</f>
        <v/>
      </c>
    </row>
    <row r="68">
      <c r="A68">
        <f>IF($B68="","","SAK-"&amp;TEXT(ROW()-1,"0000"))</f>
        <v/>
      </c>
      <c r="B68" s="8">
        <f>IF($C68&amp;$H68="","",IF($B68="",NOW(),$B68))</f>
        <v/>
      </c>
      <c r="J68">
        <f>IF($F68="","",IFERROR(VLOOKUP($F68,Oppsett!$E$4:$F$11,2,FALSE),"– ikke tildelt –"))</f>
        <v/>
      </c>
      <c r="L68">
        <f>IF($B68="","",IF($K68&lt;&gt;"",$K68,$J68))</f>
        <v/>
      </c>
      <c r="N68" s="8">
        <f>IF(OR($B68="",$G68=""),"",$B68+VLOOKUP($G68,Oppsett!$H$4:$J$7,2,FALSE)/24)</f>
        <v/>
      </c>
      <c r="O68" s="8">
        <f>IF(OR($B68="",$G68=""),"",$B68+VLOOKUP($G68,Oppsett!$H$4:$J$7,3,FALSE)/24)</f>
        <v/>
      </c>
      <c r="P68" s="8" t="n"/>
      <c r="Q68" s="8" t="n"/>
      <c r="R68">
        <f>IF($B68="","",IF($P68&lt;&gt;"",IF($P68&lt;=$N68,"OK","Påbegynt for sent"),IF(NOW()&gt;$N68,"FORFALT","Innen frist")))</f>
        <v/>
      </c>
      <c r="S68">
        <f>IF($B68="","",IF($Q68&lt;&gt;"",IF($Q68&lt;=$O68,"OK","Løst for sent"),IF(NOW()&gt;$O68,"FORFALT","Innen frist")))</f>
        <v/>
      </c>
      <c r="T68" s="10">
        <f>IF(OR($B68="",$Q68=""),"",ROUND(($Q68-$B68)*24,1))</f>
        <v/>
      </c>
    </row>
    <row r="69">
      <c r="A69">
        <f>IF($B69="","","SAK-"&amp;TEXT(ROW()-1,"0000"))</f>
        <v/>
      </c>
      <c r="B69" s="8">
        <f>IF($C69&amp;$H69="","",IF($B69="",NOW(),$B69))</f>
        <v/>
      </c>
      <c r="J69">
        <f>IF($F69="","",IFERROR(VLOOKUP($F69,Oppsett!$E$4:$F$11,2,FALSE),"– ikke tildelt –"))</f>
        <v/>
      </c>
      <c r="L69">
        <f>IF($B69="","",IF($K69&lt;&gt;"",$K69,$J69))</f>
        <v/>
      </c>
      <c r="N69" s="8">
        <f>IF(OR($B69="",$G69=""),"",$B69+VLOOKUP($G69,Oppsett!$H$4:$J$7,2,FALSE)/24)</f>
        <v/>
      </c>
      <c r="O69" s="8">
        <f>IF(OR($B69="",$G69=""),"",$B69+VLOOKUP($G69,Oppsett!$H$4:$J$7,3,FALSE)/24)</f>
        <v/>
      </c>
      <c r="P69" s="8" t="n"/>
      <c r="Q69" s="8" t="n"/>
      <c r="R69">
        <f>IF($B69="","",IF($P69&lt;&gt;"",IF($P69&lt;=$N69,"OK","Påbegynt for sent"),IF(NOW()&gt;$N69,"FORFALT","Innen frist")))</f>
        <v/>
      </c>
      <c r="S69">
        <f>IF($B69="","",IF($Q69&lt;&gt;"",IF($Q69&lt;=$O69,"OK","Løst for sent"),IF(NOW()&gt;$O69,"FORFALT","Innen frist")))</f>
        <v/>
      </c>
      <c r="T69" s="10">
        <f>IF(OR($B69="",$Q69=""),"",ROUND(($Q69-$B69)*24,1))</f>
        <v/>
      </c>
    </row>
    <row r="70">
      <c r="A70">
        <f>IF($B70="","","SAK-"&amp;TEXT(ROW()-1,"0000"))</f>
        <v/>
      </c>
      <c r="B70" s="8">
        <f>IF($C70&amp;$H70="","",IF($B70="",NOW(),$B70))</f>
        <v/>
      </c>
      <c r="J70">
        <f>IF($F70="","",IFERROR(VLOOKUP($F70,Oppsett!$E$4:$F$11,2,FALSE),"– ikke tildelt –"))</f>
        <v/>
      </c>
      <c r="L70">
        <f>IF($B70="","",IF($K70&lt;&gt;"",$K70,$J70))</f>
        <v/>
      </c>
      <c r="N70" s="8">
        <f>IF(OR($B70="",$G70=""),"",$B70+VLOOKUP($G70,Oppsett!$H$4:$J$7,2,FALSE)/24)</f>
        <v/>
      </c>
      <c r="O70" s="8">
        <f>IF(OR($B70="",$G70=""),"",$B70+VLOOKUP($G70,Oppsett!$H$4:$J$7,3,FALSE)/24)</f>
        <v/>
      </c>
      <c r="P70" s="8" t="n"/>
      <c r="Q70" s="8" t="n"/>
      <c r="R70">
        <f>IF($B70="","",IF($P70&lt;&gt;"",IF($P70&lt;=$N70,"OK","Påbegynt for sent"),IF(NOW()&gt;$N70,"FORFALT","Innen frist")))</f>
        <v/>
      </c>
      <c r="S70">
        <f>IF($B70="","",IF($Q70&lt;&gt;"",IF($Q70&lt;=$O70,"OK","Løst for sent"),IF(NOW()&gt;$O70,"FORFALT","Innen frist")))</f>
        <v/>
      </c>
      <c r="T70" s="10">
        <f>IF(OR($B70="",$Q70=""),"",ROUND(($Q70-$B70)*24,1))</f>
        <v/>
      </c>
    </row>
    <row r="71">
      <c r="A71">
        <f>IF($B71="","","SAK-"&amp;TEXT(ROW()-1,"0000"))</f>
        <v/>
      </c>
      <c r="B71" s="8">
        <f>IF($C71&amp;$H71="","",IF($B71="",NOW(),$B71))</f>
        <v/>
      </c>
      <c r="J71">
        <f>IF($F71="","",IFERROR(VLOOKUP($F71,Oppsett!$E$4:$F$11,2,FALSE),"– ikke tildelt –"))</f>
        <v/>
      </c>
      <c r="L71">
        <f>IF($B71="","",IF($K71&lt;&gt;"",$K71,$J71))</f>
        <v/>
      </c>
      <c r="N71" s="8">
        <f>IF(OR($B71="",$G71=""),"",$B71+VLOOKUP($G71,Oppsett!$H$4:$J$7,2,FALSE)/24)</f>
        <v/>
      </c>
      <c r="O71" s="8">
        <f>IF(OR($B71="",$G71=""),"",$B71+VLOOKUP($G71,Oppsett!$H$4:$J$7,3,FALSE)/24)</f>
        <v/>
      </c>
      <c r="P71" s="8" t="n"/>
      <c r="Q71" s="8" t="n"/>
      <c r="R71">
        <f>IF($B71="","",IF($P71&lt;&gt;"",IF($P71&lt;=$N71,"OK","Påbegynt for sent"),IF(NOW()&gt;$N71,"FORFALT","Innen frist")))</f>
        <v/>
      </c>
      <c r="S71">
        <f>IF($B71="","",IF($Q71&lt;&gt;"",IF($Q71&lt;=$O71,"OK","Løst for sent"),IF(NOW()&gt;$O71,"FORFALT","Innen frist")))</f>
        <v/>
      </c>
      <c r="T71" s="10">
        <f>IF(OR($B71="",$Q71=""),"",ROUND(($Q71-$B71)*24,1))</f>
        <v/>
      </c>
    </row>
    <row r="72">
      <c r="A72">
        <f>IF($B72="","","SAK-"&amp;TEXT(ROW()-1,"0000"))</f>
        <v/>
      </c>
      <c r="B72" s="8">
        <f>IF($C72&amp;$H72="","",IF($B72="",NOW(),$B72))</f>
        <v/>
      </c>
      <c r="J72">
        <f>IF($F72="","",IFERROR(VLOOKUP($F72,Oppsett!$E$4:$F$11,2,FALSE),"– ikke tildelt –"))</f>
        <v/>
      </c>
      <c r="L72">
        <f>IF($B72="","",IF($K72&lt;&gt;"",$K72,$J72))</f>
        <v/>
      </c>
      <c r="N72" s="8">
        <f>IF(OR($B72="",$G72=""),"",$B72+VLOOKUP($G72,Oppsett!$H$4:$J$7,2,FALSE)/24)</f>
        <v/>
      </c>
      <c r="O72" s="8">
        <f>IF(OR($B72="",$G72=""),"",$B72+VLOOKUP($G72,Oppsett!$H$4:$J$7,3,FALSE)/24)</f>
        <v/>
      </c>
      <c r="P72" s="8" t="n"/>
      <c r="Q72" s="8" t="n"/>
      <c r="R72">
        <f>IF($B72="","",IF($P72&lt;&gt;"",IF($P72&lt;=$N72,"OK","Påbegynt for sent"),IF(NOW()&gt;$N72,"FORFALT","Innen frist")))</f>
        <v/>
      </c>
      <c r="S72">
        <f>IF($B72="","",IF($Q72&lt;&gt;"",IF($Q72&lt;=$O72,"OK","Løst for sent"),IF(NOW()&gt;$O72,"FORFALT","Innen frist")))</f>
        <v/>
      </c>
      <c r="T72" s="10">
        <f>IF(OR($B72="",$Q72=""),"",ROUND(($Q72-$B72)*24,1))</f>
        <v/>
      </c>
    </row>
    <row r="73">
      <c r="A73">
        <f>IF($B73="","","SAK-"&amp;TEXT(ROW()-1,"0000"))</f>
        <v/>
      </c>
      <c r="B73" s="8">
        <f>IF($C73&amp;$H73="","",IF($B73="",NOW(),$B73))</f>
        <v/>
      </c>
      <c r="J73">
        <f>IF($F73="","",IFERROR(VLOOKUP($F73,Oppsett!$E$4:$F$11,2,FALSE),"– ikke tildelt –"))</f>
        <v/>
      </c>
      <c r="L73">
        <f>IF($B73="","",IF($K73&lt;&gt;"",$K73,$J73))</f>
        <v/>
      </c>
      <c r="N73" s="8">
        <f>IF(OR($B73="",$G73=""),"",$B73+VLOOKUP($G73,Oppsett!$H$4:$J$7,2,FALSE)/24)</f>
        <v/>
      </c>
      <c r="O73" s="8">
        <f>IF(OR($B73="",$G73=""),"",$B73+VLOOKUP($G73,Oppsett!$H$4:$J$7,3,FALSE)/24)</f>
        <v/>
      </c>
      <c r="P73" s="8" t="n"/>
      <c r="Q73" s="8" t="n"/>
      <c r="R73">
        <f>IF($B73="","",IF($P73&lt;&gt;"",IF($P73&lt;=$N73,"OK","Påbegynt for sent"),IF(NOW()&gt;$N73,"FORFALT","Innen frist")))</f>
        <v/>
      </c>
      <c r="S73">
        <f>IF($B73="","",IF($Q73&lt;&gt;"",IF($Q73&lt;=$O73,"OK","Løst for sent"),IF(NOW()&gt;$O73,"FORFALT","Innen frist")))</f>
        <v/>
      </c>
      <c r="T73" s="10">
        <f>IF(OR($B73="",$Q73=""),"",ROUND(($Q73-$B73)*24,1))</f>
        <v/>
      </c>
    </row>
    <row r="74">
      <c r="A74">
        <f>IF($B74="","","SAK-"&amp;TEXT(ROW()-1,"0000"))</f>
        <v/>
      </c>
      <c r="B74" s="8">
        <f>IF($C74&amp;$H74="","",IF($B74="",NOW(),$B74))</f>
        <v/>
      </c>
      <c r="J74">
        <f>IF($F74="","",IFERROR(VLOOKUP($F74,Oppsett!$E$4:$F$11,2,FALSE),"– ikke tildelt –"))</f>
        <v/>
      </c>
      <c r="L74">
        <f>IF($B74="","",IF($K74&lt;&gt;"",$K74,$J74))</f>
        <v/>
      </c>
      <c r="N74" s="8">
        <f>IF(OR($B74="",$G74=""),"",$B74+VLOOKUP($G74,Oppsett!$H$4:$J$7,2,FALSE)/24)</f>
        <v/>
      </c>
      <c r="O74" s="8">
        <f>IF(OR($B74="",$G74=""),"",$B74+VLOOKUP($G74,Oppsett!$H$4:$J$7,3,FALSE)/24)</f>
        <v/>
      </c>
      <c r="P74" s="8" t="n"/>
      <c r="Q74" s="8" t="n"/>
      <c r="R74">
        <f>IF($B74="","",IF($P74&lt;&gt;"",IF($P74&lt;=$N74,"OK","Påbegynt for sent"),IF(NOW()&gt;$N74,"FORFALT","Innen frist")))</f>
        <v/>
      </c>
      <c r="S74">
        <f>IF($B74="","",IF($Q74&lt;&gt;"",IF($Q74&lt;=$O74,"OK","Løst for sent"),IF(NOW()&gt;$O74,"FORFALT","Innen frist")))</f>
        <v/>
      </c>
      <c r="T74" s="10">
        <f>IF(OR($B74="",$Q74=""),"",ROUND(($Q74-$B74)*24,1))</f>
        <v/>
      </c>
    </row>
    <row r="75">
      <c r="A75">
        <f>IF($B75="","","SAK-"&amp;TEXT(ROW()-1,"0000"))</f>
        <v/>
      </c>
      <c r="B75" s="8">
        <f>IF($C75&amp;$H75="","",IF($B75="",NOW(),$B75))</f>
        <v/>
      </c>
      <c r="J75">
        <f>IF($F75="","",IFERROR(VLOOKUP($F75,Oppsett!$E$4:$F$11,2,FALSE),"– ikke tildelt –"))</f>
        <v/>
      </c>
      <c r="L75">
        <f>IF($B75="","",IF($K75&lt;&gt;"",$K75,$J75))</f>
        <v/>
      </c>
      <c r="N75" s="8">
        <f>IF(OR($B75="",$G75=""),"",$B75+VLOOKUP($G75,Oppsett!$H$4:$J$7,2,FALSE)/24)</f>
        <v/>
      </c>
      <c r="O75" s="8">
        <f>IF(OR($B75="",$G75=""),"",$B75+VLOOKUP($G75,Oppsett!$H$4:$J$7,3,FALSE)/24)</f>
        <v/>
      </c>
      <c r="P75" s="8" t="n"/>
      <c r="Q75" s="8" t="n"/>
      <c r="R75">
        <f>IF($B75="","",IF($P75&lt;&gt;"",IF($P75&lt;=$N75,"OK","Påbegynt for sent"),IF(NOW()&gt;$N75,"FORFALT","Innen frist")))</f>
        <v/>
      </c>
      <c r="S75">
        <f>IF($B75="","",IF($Q75&lt;&gt;"",IF($Q75&lt;=$O75,"OK","Løst for sent"),IF(NOW()&gt;$O75,"FORFALT","Innen frist")))</f>
        <v/>
      </c>
      <c r="T75" s="10">
        <f>IF(OR($B75="",$Q75=""),"",ROUND(($Q75-$B75)*24,1))</f>
        <v/>
      </c>
    </row>
    <row r="76">
      <c r="A76">
        <f>IF($B76="","","SAK-"&amp;TEXT(ROW()-1,"0000"))</f>
        <v/>
      </c>
      <c r="B76" s="8">
        <f>IF($C76&amp;$H76="","",IF($B76="",NOW(),$B76))</f>
        <v/>
      </c>
      <c r="J76">
        <f>IF($F76="","",IFERROR(VLOOKUP($F76,Oppsett!$E$4:$F$11,2,FALSE),"– ikke tildelt –"))</f>
        <v/>
      </c>
      <c r="L76">
        <f>IF($B76="","",IF($K76&lt;&gt;"",$K76,$J76))</f>
        <v/>
      </c>
      <c r="N76" s="8">
        <f>IF(OR($B76="",$G76=""),"",$B76+VLOOKUP($G76,Oppsett!$H$4:$J$7,2,FALSE)/24)</f>
        <v/>
      </c>
      <c r="O76" s="8">
        <f>IF(OR($B76="",$G76=""),"",$B76+VLOOKUP($G76,Oppsett!$H$4:$J$7,3,FALSE)/24)</f>
        <v/>
      </c>
      <c r="P76" s="8" t="n"/>
      <c r="Q76" s="8" t="n"/>
      <c r="R76">
        <f>IF($B76="","",IF($P76&lt;&gt;"",IF($P76&lt;=$N76,"OK","Påbegynt for sent"),IF(NOW()&gt;$N76,"FORFALT","Innen frist")))</f>
        <v/>
      </c>
      <c r="S76">
        <f>IF($B76="","",IF($Q76&lt;&gt;"",IF($Q76&lt;=$O76,"OK","Løst for sent"),IF(NOW()&gt;$O76,"FORFALT","Innen frist")))</f>
        <v/>
      </c>
      <c r="T76" s="10">
        <f>IF(OR($B76="",$Q76=""),"",ROUND(($Q76-$B76)*24,1))</f>
        <v/>
      </c>
    </row>
    <row r="77">
      <c r="A77">
        <f>IF($B77="","","SAK-"&amp;TEXT(ROW()-1,"0000"))</f>
        <v/>
      </c>
      <c r="B77" s="8">
        <f>IF($C77&amp;$H77="","",IF($B77="",NOW(),$B77))</f>
        <v/>
      </c>
      <c r="J77">
        <f>IF($F77="","",IFERROR(VLOOKUP($F77,Oppsett!$E$4:$F$11,2,FALSE),"– ikke tildelt –"))</f>
        <v/>
      </c>
      <c r="L77">
        <f>IF($B77="","",IF($K77&lt;&gt;"",$K77,$J77))</f>
        <v/>
      </c>
      <c r="N77" s="8">
        <f>IF(OR($B77="",$G77=""),"",$B77+VLOOKUP($G77,Oppsett!$H$4:$J$7,2,FALSE)/24)</f>
        <v/>
      </c>
      <c r="O77" s="8">
        <f>IF(OR($B77="",$G77=""),"",$B77+VLOOKUP($G77,Oppsett!$H$4:$J$7,3,FALSE)/24)</f>
        <v/>
      </c>
      <c r="P77" s="8" t="n"/>
      <c r="Q77" s="8" t="n"/>
      <c r="R77">
        <f>IF($B77="","",IF($P77&lt;&gt;"",IF($P77&lt;=$N77,"OK","Påbegynt for sent"),IF(NOW()&gt;$N77,"FORFALT","Innen frist")))</f>
        <v/>
      </c>
      <c r="S77">
        <f>IF($B77="","",IF($Q77&lt;&gt;"",IF($Q77&lt;=$O77,"OK","Løst for sent"),IF(NOW()&gt;$O77,"FORFALT","Innen frist")))</f>
        <v/>
      </c>
      <c r="T77" s="10">
        <f>IF(OR($B77="",$Q77=""),"",ROUND(($Q77-$B77)*24,1))</f>
        <v/>
      </c>
    </row>
    <row r="78">
      <c r="A78">
        <f>IF($B78="","","SAK-"&amp;TEXT(ROW()-1,"0000"))</f>
        <v/>
      </c>
      <c r="B78" s="8">
        <f>IF($C78&amp;$H78="","",IF($B78="",NOW(),$B78))</f>
        <v/>
      </c>
      <c r="J78">
        <f>IF($F78="","",IFERROR(VLOOKUP($F78,Oppsett!$E$4:$F$11,2,FALSE),"– ikke tildelt –"))</f>
        <v/>
      </c>
      <c r="L78">
        <f>IF($B78="","",IF($K78&lt;&gt;"",$K78,$J78))</f>
        <v/>
      </c>
      <c r="N78" s="8">
        <f>IF(OR($B78="",$G78=""),"",$B78+VLOOKUP($G78,Oppsett!$H$4:$J$7,2,FALSE)/24)</f>
        <v/>
      </c>
      <c r="O78" s="8">
        <f>IF(OR($B78="",$G78=""),"",$B78+VLOOKUP($G78,Oppsett!$H$4:$J$7,3,FALSE)/24)</f>
        <v/>
      </c>
      <c r="P78" s="8" t="n"/>
      <c r="Q78" s="8" t="n"/>
      <c r="R78">
        <f>IF($B78="","",IF($P78&lt;&gt;"",IF($P78&lt;=$N78,"OK","Påbegynt for sent"),IF(NOW()&gt;$N78,"FORFALT","Innen frist")))</f>
        <v/>
      </c>
      <c r="S78">
        <f>IF($B78="","",IF($Q78&lt;&gt;"",IF($Q78&lt;=$O78,"OK","Løst for sent"),IF(NOW()&gt;$O78,"FORFALT","Innen frist")))</f>
        <v/>
      </c>
      <c r="T78" s="10">
        <f>IF(OR($B78="",$Q78=""),"",ROUND(($Q78-$B78)*24,1))</f>
        <v/>
      </c>
    </row>
    <row r="79">
      <c r="A79">
        <f>IF($B79="","","SAK-"&amp;TEXT(ROW()-1,"0000"))</f>
        <v/>
      </c>
      <c r="B79" s="8">
        <f>IF($C79&amp;$H79="","",IF($B79="",NOW(),$B79))</f>
        <v/>
      </c>
      <c r="J79">
        <f>IF($F79="","",IFERROR(VLOOKUP($F79,Oppsett!$E$4:$F$11,2,FALSE),"– ikke tildelt –"))</f>
        <v/>
      </c>
      <c r="L79">
        <f>IF($B79="","",IF($K79&lt;&gt;"",$K79,$J79))</f>
        <v/>
      </c>
      <c r="N79" s="8">
        <f>IF(OR($B79="",$G79=""),"",$B79+VLOOKUP($G79,Oppsett!$H$4:$J$7,2,FALSE)/24)</f>
        <v/>
      </c>
      <c r="O79" s="8">
        <f>IF(OR($B79="",$G79=""),"",$B79+VLOOKUP($G79,Oppsett!$H$4:$J$7,3,FALSE)/24)</f>
        <v/>
      </c>
      <c r="P79" s="8" t="n"/>
      <c r="Q79" s="8" t="n"/>
      <c r="R79">
        <f>IF($B79="","",IF($P79&lt;&gt;"",IF($P79&lt;=$N79,"OK","Påbegynt for sent"),IF(NOW()&gt;$N79,"FORFALT","Innen frist")))</f>
        <v/>
      </c>
      <c r="S79">
        <f>IF($B79="","",IF($Q79&lt;&gt;"",IF($Q79&lt;=$O79,"OK","Løst for sent"),IF(NOW()&gt;$O79,"FORFALT","Innen frist")))</f>
        <v/>
      </c>
      <c r="T79" s="10">
        <f>IF(OR($B79="",$Q79=""),"",ROUND(($Q79-$B79)*24,1))</f>
        <v/>
      </c>
    </row>
    <row r="80">
      <c r="A80">
        <f>IF($B80="","","SAK-"&amp;TEXT(ROW()-1,"0000"))</f>
        <v/>
      </c>
      <c r="B80" s="8">
        <f>IF($C80&amp;$H80="","",IF($B80="",NOW(),$B80))</f>
        <v/>
      </c>
      <c r="J80">
        <f>IF($F80="","",IFERROR(VLOOKUP($F80,Oppsett!$E$4:$F$11,2,FALSE),"– ikke tildelt –"))</f>
        <v/>
      </c>
      <c r="L80">
        <f>IF($B80="","",IF($K80&lt;&gt;"",$K80,$J80))</f>
        <v/>
      </c>
      <c r="N80" s="8">
        <f>IF(OR($B80="",$G80=""),"",$B80+VLOOKUP($G80,Oppsett!$H$4:$J$7,2,FALSE)/24)</f>
        <v/>
      </c>
      <c r="O80" s="8">
        <f>IF(OR($B80="",$G80=""),"",$B80+VLOOKUP($G80,Oppsett!$H$4:$J$7,3,FALSE)/24)</f>
        <v/>
      </c>
      <c r="P80" s="8" t="n"/>
      <c r="Q80" s="8" t="n"/>
      <c r="R80">
        <f>IF($B80="","",IF($P80&lt;&gt;"",IF($P80&lt;=$N80,"OK","Påbegynt for sent"),IF(NOW()&gt;$N80,"FORFALT","Innen frist")))</f>
        <v/>
      </c>
      <c r="S80">
        <f>IF($B80="","",IF($Q80&lt;&gt;"",IF($Q80&lt;=$O80,"OK","Løst for sent"),IF(NOW()&gt;$O80,"FORFALT","Innen frist")))</f>
        <v/>
      </c>
      <c r="T80" s="10">
        <f>IF(OR($B80="",$Q80=""),"",ROUND(($Q80-$B80)*24,1))</f>
        <v/>
      </c>
    </row>
    <row r="81">
      <c r="A81">
        <f>IF($B81="","","SAK-"&amp;TEXT(ROW()-1,"0000"))</f>
        <v/>
      </c>
      <c r="B81" s="8">
        <f>IF($C81&amp;$H81="","",IF($B81="",NOW(),$B81))</f>
        <v/>
      </c>
      <c r="J81">
        <f>IF($F81="","",IFERROR(VLOOKUP($F81,Oppsett!$E$4:$F$11,2,FALSE),"– ikke tildelt –"))</f>
        <v/>
      </c>
      <c r="L81">
        <f>IF($B81="","",IF($K81&lt;&gt;"",$K81,$J81))</f>
        <v/>
      </c>
      <c r="N81" s="8">
        <f>IF(OR($B81="",$G81=""),"",$B81+VLOOKUP($G81,Oppsett!$H$4:$J$7,2,FALSE)/24)</f>
        <v/>
      </c>
      <c r="O81" s="8">
        <f>IF(OR($B81="",$G81=""),"",$B81+VLOOKUP($G81,Oppsett!$H$4:$J$7,3,FALSE)/24)</f>
        <v/>
      </c>
      <c r="P81" s="8" t="n"/>
      <c r="Q81" s="8" t="n"/>
      <c r="R81">
        <f>IF($B81="","",IF($P81&lt;&gt;"",IF($P81&lt;=$N81,"OK","Påbegynt for sent"),IF(NOW()&gt;$N81,"FORFALT","Innen frist")))</f>
        <v/>
      </c>
      <c r="S81">
        <f>IF($B81="","",IF($Q81&lt;&gt;"",IF($Q81&lt;=$O81,"OK","Løst for sent"),IF(NOW()&gt;$O81,"FORFALT","Innen frist")))</f>
        <v/>
      </c>
      <c r="T81" s="10">
        <f>IF(OR($B81="",$Q81=""),"",ROUND(($Q81-$B81)*24,1))</f>
        <v/>
      </c>
    </row>
    <row r="82">
      <c r="A82">
        <f>IF($B82="","","SAK-"&amp;TEXT(ROW()-1,"0000"))</f>
        <v/>
      </c>
      <c r="B82" s="8">
        <f>IF($C82&amp;$H82="","",IF($B82="",NOW(),$B82))</f>
        <v/>
      </c>
      <c r="J82">
        <f>IF($F82="","",IFERROR(VLOOKUP($F82,Oppsett!$E$4:$F$11,2,FALSE),"– ikke tildelt –"))</f>
        <v/>
      </c>
      <c r="L82">
        <f>IF($B82="","",IF($K82&lt;&gt;"",$K82,$J82))</f>
        <v/>
      </c>
      <c r="N82" s="8">
        <f>IF(OR($B82="",$G82=""),"",$B82+VLOOKUP($G82,Oppsett!$H$4:$J$7,2,FALSE)/24)</f>
        <v/>
      </c>
      <c r="O82" s="8">
        <f>IF(OR($B82="",$G82=""),"",$B82+VLOOKUP($G82,Oppsett!$H$4:$J$7,3,FALSE)/24)</f>
        <v/>
      </c>
      <c r="P82" s="8" t="n"/>
      <c r="Q82" s="8" t="n"/>
      <c r="R82">
        <f>IF($B82="","",IF($P82&lt;&gt;"",IF($P82&lt;=$N82,"OK","Påbegynt for sent"),IF(NOW()&gt;$N82,"FORFALT","Innen frist")))</f>
        <v/>
      </c>
      <c r="S82">
        <f>IF($B82="","",IF($Q82&lt;&gt;"",IF($Q82&lt;=$O82,"OK","Løst for sent"),IF(NOW()&gt;$O82,"FORFALT","Innen frist")))</f>
        <v/>
      </c>
      <c r="T82" s="10">
        <f>IF(OR($B82="",$Q82=""),"",ROUND(($Q82-$B82)*24,1))</f>
        <v/>
      </c>
    </row>
    <row r="83">
      <c r="A83">
        <f>IF($B83="","","SAK-"&amp;TEXT(ROW()-1,"0000"))</f>
        <v/>
      </c>
      <c r="B83" s="8">
        <f>IF($C83&amp;$H83="","",IF($B83="",NOW(),$B83))</f>
        <v/>
      </c>
      <c r="J83">
        <f>IF($F83="","",IFERROR(VLOOKUP($F83,Oppsett!$E$4:$F$11,2,FALSE),"– ikke tildelt –"))</f>
        <v/>
      </c>
      <c r="L83">
        <f>IF($B83="","",IF($K83&lt;&gt;"",$K83,$J83))</f>
        <v/>
      </c>
      <c r="N83" s="8">
        <f>IF(OR($B83="",$G83=""),"",$B83+VLOOKUP($G83,Oppsett!$H$4:$J$7,2,FALSE)/24)</f>
        <v/>
      </c>
      <c r="O83" s="8">
        <f>IF(OR($B83="",$G83=""),"",$B83+VLOOKUP($G83,Oppsett!$H$4:$J$7,3,FALSE)/24)</f>
        <v/>
      </c>
      <c r="P83" s="8" t="n"/>
      <c r="Q83" s="8" t="n"/>
      <c r="R83">
        <f>IF($B83="","",IF($P83&lt;&gt;"",IF($P83&lt;=$N83,"OK","Påbegynt for sent"),IF(NOW()&gt;$N83,"FORFALT","Innen frist")))</f>
        <v/>
      </c>
      <c r="S83">
        <f>IF($B83="","",IF($Q83&lt;&gt;"",IF($Q83&lt;=$O83,"OK","Løst for sent"),IF(NOW()&gt;$O83,"FORFALT","Innen frist")))</f>
        <v/>
      </c>
      <c r="T83" s="10">
        <f>IF(OR($B83="",$Q83=""),"",ROUND(($Q83-$B83)*24,1))</f>
        <v/>
      </c>
    </row>
    <row r="84">
      <c r="A84">
        <f>IF($B84="","","SAK-"&amp;TEXT(ROW()-1,"0000"))</f>
        <v/>
      </c>
      <c r="B84" s="8">
        <f>IF($C84&amp;$H84="","",IF($B84="",NOW(),$B84))</f>
        <v/>
      </c>
      <c r="J84">
        <f>IF($F84="","",IFERROR(VLOOKUP($F84,Oppsett!$E$4:$F$11,2,FALSE),"– ikke tildelt –"))</f>
        <v/>
      </c>
      <c r="L84">
        <f>IF($B84="","",IF($K84&lt;&gt;"",$K84,$J84))</f>
        <v/>
      </c>
      <c r="N84" s="8">
        <f>IF(OR($B84="",$G84=""),"",$B84+VLOOKUP($G84,Oppsett!$H$4:$J$7,2,FALSE)/24)</f>
        <v/>
      </c>
      <c r="O84" s="8">
        <f>IF(OR($B84="",$G84=""),"",$B84+VLOOKUP($G84,Oppsett!$H$4:$J$7,3,FALSE)/24)</f>
        <v/>
      </c>
      <c r="P84" s="8" t="n"/>
      <c r="Q84" s="8" t="n"/>
      <c r="R84">
        <f>IF($B84="","",IF($P84&lt;&gt;"",IF($P84&lt;=$N84,"OK","Påbegynt for sent"),IF(NOW()&gt;$N84,"FORFALT","Innen frist")))</f>
        <v/>
      </c>
      <c r="S84">
        <f>IF($B84="","",IF($Q84&lt;&gt;"",IF($Q84&lt;=$O84,"OK","Løst for sent"),IF(NOW()&gt;$O84,"FORFALT","Innen frist")))</f>
        <v/>
      </c>
      <c r="T84" s="10">
        <f>IF(OR($B84="",$Q84=""),"",ROUND(($Q84-$B84)*24,1))</f>
        <v/>
      </c>
    </row>
    <row r="85">
      <c r="A85">
        <f>IF($B85="","","SAK-"&amp;TEXT(ROW()-1,"0000"))</f>
        <v/>
      </c>
      <c r="B85" s="8">
        <f>IF($C85&amp;$H85="","",IF($B85="",NOW(),$B85))</f>
        <v/>
      </c>
      <c r="J85">
        <f>IF($F85="","",IFERROR(VLOOKUP($F85,Oppsett!$E$4:$F$11,2,FALSE),"– ikke tildelt –"))</f>
        <v/>
      </c>
      <c r="L85">
        <f>IF($B85="","",IF($K85&lt;&gt;"",$K85,$J85))</f>
        <v/>
      </c>
      <c r="N85" s="8">
        <f>IF(OR($B85="",$G85=""),"",$B85+VLOOKUP($G85,Oppsett!$H$4:$J$7,2,FALSE)/24)</f>
        <v/>
      </c>
      <c r="O85" s="8">
        <f>IF(OR($B85="",$G85=""),"",$B85+VLOOKUP($G85,Oppsett!$H$4:$J$7,3,FALSE)/24)</f>
        <v/>
      </c>
      <c r="P85" s="8" t="n"/>
      <c r="Q85" s="8" t="n"/>
      <c r="R85">
        <f>IF($B85="","",IF($P85&lt;&gt;"",IF($P85&lt;=$N85,"OK","Påbegynt for sent"),IF(NOW()&gt;$N85,"FORFALT","Innen frist")))</f>
        <v/>
      </c>
      <c r="S85">
        <f>IF($B85="","",IF($Q85&lt;&gt;"",IF($Q85&lt;=$O85,"OK","Løst for sent"),IF(NOW()&gt;$O85,"FORFALT","Innen frist")))</f>
        <v/>
      </c>
      <c r="T85" s="10">
        <f>IF(OR($B85="",$Q85=""),"",ROUND(($Q85-$B85)*24,1))</f>
        <v/>
      </c>
    </row>
    <row r="86">
      <c r="A86">
        <f>IF($B86="","","SAK-"&amp;TEXT(ROW()-1,"0000"))</f>
        <v/>
      </c>
      <c r="B86" s="8">
        <f>IF($C86&amp;$H86="","",IF($B86="",NOW(),$B86))</f>
        <v/>
      </c>
      <c r="J86">
        <f>IF($F86="","",IFERROR(VLOOKUP($F86,Oppsett!$E$4:$F$11,2,FALSE),"– ikke tildelt –"))</f>
        <v/>
      </c>
      <c r="L86">
        <f>IF($B86="","",IF($K86&lt;&gt;"",$K86,$J86))</f>
        <v/>
      </c>
      <c r="N86" s="8">
        <f>IF(OR($B86="",$G86=""),"",$B86+VLOOKUP($G86,Oppsett!$H$4:$J$7,2,FALSE)/24)</f>
        <v/>
      </c>
      <c r="O86" s="8">
        <f>IF(OR($B86="",$G86=""),"",$B86+VLOOKUP($G86,Oppsett!$H$4:$J$7,3,FALSE)/24)</f>
        <v/>
      </c>
      <c r="P86" s="8" t="n"/>
      <c r="Q86" s="8" t="n"/>
      <c r="R86">
        <f>IF($B86="","",IF($P86&lt;&gt;"",IF($P86&lt;=$N86,"OK","Påbegynt for sent"),IF(NOW()&gt;$N86,"FORFALT","Innen frist")))</f>
        <v/>
      </c>
      <c r="S86">
        <f>IF($B86="","",IF($Q86&lt;&gt;"",IF($Q86&lt;=$O86,"OK","Løst for sent"),IF(NOW()&gt;$O86,"FORFALT","Innen frist")))</f>
        <v/>
      </c>
      <c r="T86" s="10">
        <f>IF(OR($B86="",$Q86=""),"",ROUND(($Q86-$B86)*24,1))</f>
        <v/>
      </c>
    </row>
    <row r="87">
      <c r="A87">
        <f>IF($B87="","","SAK-"&amp;TEXT(ROW()-1,"0000"))</f>
        <v/>
      </c>
      <c r="B87" s="8">
        <f>IF($C87&amp;$H87="","",IF($B87="",NOW(),$B87))</f>
        <v/>
      </c>
      <c r="J87">
        <f>IF($F87="","",IFERROR(VLOOKUP($F87,Oppsett!$E$4:$F$11,2,FALSE),"– ikke tildelt –"))</f>
        <v/>
      </c>
      <c r="L87">
        <f>IF($B87="","",IF($K87&lt;&gt;"",$K87,$J87))</f>
        <v/>
      </c>
      <c r="N87" s="8">
        <f>IF(OR($B87="",$G87=""),"",$B87+VLOOKUP($G87,Oppsett!$H$4:$J$7,2,FALSE)/24)</f>
        <v/>
      </c>
      <c r="O87" s="8">
        <f>IF(OR($B87="",$G87=""),"",$B87+VLOOKUP($G87,Oppsett!$H$4:$J$7,3,FALSE)/24)</f>
        <v/>
      </c>
      <c r="P87" s="8" t="n"/>
      <c r="Q87" s="8" t="n"/>
      <c r="R87">
        <f>IF($B87="","",IF($P87&lt;&gt;"",IF($P87&lt;=$N87,"OK","Påbegynt for sent"),IF(NOW()&gt;$N87,"FORFALT","Innen frist")))</f>
        <v/>
      </c>
      <c r="S87">
        <f>IF($B87="","",IF($Q87&lt;&gt;"",IF($Q87&lt;=$O87,"OK","Løst for sent"),IF(NOW()&gt;$O87,"FORFALT","Innen frist")))</f>
        <v/>
      </c>
      <c r="T87" s="10">
        <f>IF(OR($B87="",$Q87=""),"",ROUND(($Q87-$B87)*24,1))</f>
        <v/>
      </c>
    </row>
    <row r="88">
      <c r="A88">
        <f>IF($B88="","","SAK-"&amp;TEXT(ROW()-1,"0000"))</f>
        <v/>
      </c>
      <c r="B88" s="8">
        <f>IF($C88&amp;$H88="","",IF($B88="",NOW(),$B88))</f>
        <v/>
      </c>
      <c r="J88">
        <f>IF($F88="","",IFERROR(VLOOKUP($F88,Oppsett!$E$4:$F$11,2,FALSE),"– ikke tildelt –"))</f>
        <v/>
      </c>
      <c r="L88">
        <f>IF($B88="","",IF($K88&lt;&gt;"",$K88,$J88))</f>
        <v/>
      </c>
      <c r="N88" s="8">
        <f>IF(OR($B88="",$G88=""),"",$B88+VLOOKUP($G88,Oppsett!$H$4:$J$7,2,FALSE)/24)</f>
        <v/>
      </c>
      <c r="O88" s="8">
        <f>IF(OR($B88="",$G88=""),"",$B88+VLOOKUP($G88,Oppsett!$H$4:$J$7,3,FALSE)/24)</f>
        <v/>
      </c>
      <c r="P88" s="8" t="n"/>
      <c r="Q88" s="8" t="n"/>
      <c r="R88">
        <f>IF($B88="","",IF($P88&lt;&gt;"",IF($P88&lt;=$N88,"OK","Påbegynt for sent"),IF(NOW()&gt;$N88,"FORFALT","Innen frist")))</f>
        <v/>
      </c>
      <c r="S88">
        <f>IF($B88="","",IF($Q88&lt;&gt;"",IF($Q88&lt;=$O88,"OK","Løst for sent"),IF(NOW()&gt;$O88,"FORFALT","Innen frist")))</f>
        <v/>
      </c>
      <c r="T88" s="10">
        <f>IF(OR($B88="",$Q88=""),"",ROUND(($Q88-$B88)*24,1))</f>
        <v/>
      </c>
    </row>
    <row r="89">
      <c r="A89">
        <f>IF($B89="","","SAK-"&amp;TEXT(ROW()-1,"0000"))</f>
        <v/>
      </c>
      <c r="B89" s="8">
        <f>IF($C89&amp;$H89="","",IF($B89="",NOW(),$B89))</f>
        <v/>
      </c>
      <c r="J89">
        <f>IF($F89="","",IFERROR(VLOOKUP($F89,Oppsett!$E$4:$F$11,2,FALSE),"– ikke tildelt –"))</f>
        <v/>
      </c>
      <c r="L89">
        <f>IF($B89="","",IF($K89&lt;&gt;"",$K89,$J89))</f>
        <v/>
      </c>
      <c r="N89" s="8">
        <f>IF(OR($B89="",$G89=""),"",$B89+VLOOKUP($G89,Oppsett!$H$4:$J$7,2,FALSE)/24)</f>
        <v/>
      </c>
      <c r="O89" s="8">
        <f>IF(OR($B89="",$G89=""),"",$B89+VLOOKUP($G89,Oppsett!$H$4:$J$7,3,FALSE)/24)</f>
        <v/>
      </c>
      <c r="P89" s="8" t="n"/>
      <c r="Q89" s="8" t="n"/>
      <c r="R89">
        <f>IF($B89="","",IF($P89&lt;&gt;"",IF($P89&lt;=$N89,"OK","Påbegynt for sent"),IF(NOW()&gt;$N89,"FORFALT","Innen frist")))</f>
        <v/>
      </c>
      <c r="S89">
        <f>IF($B89="","",IF($Q89&lt;&gt;"",IF($Q89&lt;=$O89,"OK","Løst for sent"),IF(NOW()&gt;$O89,"FORFALT","Innen frist")))</f>
        <v/>
      </c>
      <c r="T89" s="10">
        <f>IF(OR($B89="",$Q89=""),"",ROUND(($Q89-$B89)*24,1))</f>
        <v/>
      </c>
    </row>
    <row r="90">
      <c r="A90">
        <f>IF($B90="","","SAK-"&amp;TEXT(ROW()-1,"0000"))</f>
        <v/>
      </c>
      <c r="B90" s="8">
        <f>IF($C90&amp;$H90="","",IF($B90="",NOW(),$B90))</f>
        <v/>
      </c>
      <c r="J90">
        <f>IF($F90="","",IFERROR(VLOOKUP($F90,Oppsett!$E$4:$F$11,2,FALSE),"– ikke tildelt –"))</f>
        <v/>
      </c>
      <c r="L90">
        <f>IF($B90="","",IF($K90&lt;&gt;"",$K90,$J90))</f>
        <v/>
      </c>
      <c r="N90" s="8">
        <f>IF(OR($B90="",$G90=""),"",$B90+VLOOKUP($G90,Oppsett!$H$4:$J$7,2,FALSE)/24)</f>
        <v/>
      </c>
      <c r="O90" s="8">
        <f>IF(OR($B90="",$G90=""),"",$B90+VLOOKUP($G90,Oppsett!$H$4:$J$7,3,FALSE)/24)</f>
        <v/>
      </c>
      <c r="P90" s="8" t="n"/>
      <c r="Q90" s="8" t="n"/>
      <c r="R90">
        <f>IF($B90="","",IF($P90&lt;&gt;"",IF($P90&lt;=$N90,"OK","Påbegynt for sent"),IF(NOW()&gt;$N90,"FORFALT","Innen frist")))</f>
        <v/>
      </c>
      <c r="S90">
        <f>IF($B90="","",IF($Q90&lt;&gt;"",IF($Q90&lt;=$O90,"OK","Løst for sent"),IF(NOW()&gt;$O90,"FORFALT","Innen frist")))</f>
        <v/>
      </c>
      <c r="T90" s="10">
        <f>IF(OR($B90="",$Q90=""),"",ROUND(($Q90-$B90)*24,1))</f>
        <v/>
      </c>
    </row>
    <row r="91">
      <c r="A91">
        <f>IF($B91="","","SAK-"&amp;TEXT(ROW()-1,"0000"))</f>
        <v/>
      </c>
      <c r="B91" s="8">
        <f>IF($C91&amp;$H91="","",IF($B91="",NOW(),$B91))</f>
        <v/>
      </c>
      <c r="J91">
        <f>IF($F91="","",IFERROR(VLOOKUP($F91,Oppsett!$E$4:$F$11,2,FALSE),"– ikke tildelt –"))</f>
        <v/>
      </c>
      <c r="L91">
        <f>IF($B91="","",IF($K91&lt;&gt;"",$K91,$J91))</f>
        <v/>
      </c>
      <c r="N91" s="8">
        <f>IF(OR($B91="",$G91=""),"",$B91+VLOOKUP($G91,Oppsett!$H$4:$J$7,2,FALSE)/24)</f>
        <v/>
      </c>
      <c r="O91" s="8">
        <f>IF(OR($B91="",$G91=""),"",$B91+VLOOKUP($G91,Oppsett!$H$4:$J$7,3,FALSE)/24)</f>
        <v/>
      </c>
      <c r="P91" s="8" t="n"/>
      <c r="Q91" s="8" t="n"/>
      <c r="R91">
        <f>IF($B91="","",IF($P91&lt;&gt;"",IF($P91&lt;=$N91,"OK","Påbegynt for sent"),IF(NOW()&gt;$N91,"FORFALT","Innen frist")))</f>
        <v/>
      </c>
      <c r="S91">
        <f>IF($B91="","",IF($Q91&lt;&gt;"",IF($Q91&lt;=$O91,"OK","Løst for sent"),IF(NOW()&gt;$O91,"FORFALT","Innen frist")))</f>
        <v/>
      </c>
      <c r="T91" s="10">
        <f>IF(OR($B91="",$Q91=""),"",ROUND(($Q91-$B91)*24,1))</f>
        <v/>
      </c>
    </row>
    <row r="92">
      <c r="A92">
        <f>IF($B92="","","SAK-"&amp;TEXT(ROW()-1,"0000"))</f>
        <v/>
      </c>
      <c r="B92" s="8">
        <f>IF($C92&amp;$H92="","",IF($B92="",NOW(),$B92))</f>
        <v/>
      </c>
      <c r="J92">
        <f>IF($F92="","",IFERROR(VLOOKUP($F92,Oppsett!$E$4:$F$11,2,FALSE),"– ikke tildelt –"))</f>
        <v/>
      </c>
      <c r="L92">
        <f>IF($B92="","",IF($K92&lt;&gt;"",$K92,$J92))</f>
        <v/>
      </c>
      <c r="N92" s="8">
        <f>IF(OR($B92="",$G92=""),"",$B92+VLOOKUP($G92,Oppsett!$H$4:$J$7,2,FALSE)/24)</f>
        <v/>
      </c>
      <c r="O92" s="8">
        <f>IF(OR($B92="",$G92=""),"",$B92+VLOOKUP($G92,Oppsett!$H$4:$J$7,3,FALSE)/24)</f>
        <v/>
      </c>
      <c r="P92" s="8" t="n"/>
      <c r="Q92" s="8" t="n"/>
      <c r="R92">
        <f>IF($B92="","",IF($P92&lt;&gt;"",IF($P92&lt;=$N92,"OK","Påbegynt for sent"),IF(NOW()&gt;$N92,"FORFALT","Innen frist")))</f>
        <v/>
      </c>
      <c r="S92">
        <f>IF($B92="","",IF($Q92&lt;&gt;"",IF($Q92&lt;=$O92,"OK","Løst for sent"),IF(NOW()&gt;$O92,"FORFALT","Innen frist")))</f>
        <v/>
      </c>
      <c r="T92" s="10">
        <f>IF(OR($B92="",$Q92=""),"",ROUND(($Q92-$B92)*24,1))</f>
        <v/>
      </c>
    </row>
    <row r="93">
      <c r="A93">
        <f>IF($B93="","","SAK-"&amp;TEXT(ROW()-1,"0000"))</f>
        <v/>
      </c>
      <c r="B93" s="8">
        <f>IF($C93&amp;$H93="","",IF($B93="",NOW(),$B93))</f>
        <v/>
      </c>
      <c r="J93">
        <f>IF($F93="","",IFERROR(VLOOKUP($F93,Oppsett!$E$4:$F$11,2,FALSE),"– ikke tildelt –"))</f>
        <v/>
      </c>
      <c r="L93">
        <f>IF($B93="","",IF($K93&lt;&gt;"",$K93,$J93))</f>
        <v/>
      </c>
      <c r="N93" s="8">
        <f>IF(OR($B93="",$G93=""),"",$B93+VLOOKUP($G93,Oppsett!$H$4:$J$7,2,FALSE)/24)</f>
        <v/>
      </c>
      <c r="O93" s="8">
        <f>IF(OR($B93="",$G93=""),"",$B93+VLOOKUP($G93,Oppsett!$H$4:$J$7,3,FALSE)/24)</f>
        <v/>
      </c>
      <c r="P93" s="8" t="n"/>
      <c r="Q93" s="8" t="n"/>
      <c r="R93">
        <f>IF($B93="","",IF($P93&lt;&gt;"",IF($P93&lt;=$N93,"OK","Påbegynt for sent"),IF(NOW()&gt;$N93,"FORFALT","Innen frist")))</f>
        <v/>
      </c>
      <c r="S93">
        <f>IF($B93="","",IF($Q93&lt;&gt;"",IF($Q93&lt;=$O93,"OK","Løst for sent"),IF(NOW()&gt;$O93,"FORFALT","Innen frist")))</f>
        <v/>
      </c>
      <c r="T93" s="10">
        <f>IF(OR($B93="",$Q93=""),"",ROUND(($Q93-$B93)*24,1))</f>
        <v/>
      </c>
    </row>
    <row r="94">
      <c r="A94">
        <f>IF($B94="","","SAK-"&amp;TEXT(ROW()-1,"0000"))</f>
        <v/>
      </c>
      <c r="B94" s="8">
        <f>IF($C94&amp;$H94="","",IF($B94="",NOW(),$B94))</f>
        <v/>
      </c>
      <c r="J94">
        <f>IF($F94="","",IFERROR(VLOOKUP($F94,Oppsett!$E$4:$F$11,2,FALSE),"– ikke tildelt –"))</f>
        <v/>
      </c>
      <c r="L94">
        <f>IF($B94="","",IF($K94&lt;&gt;"",$K94,$J94))</f>
        <v/>
      </c>
      <c r="N94" s="8">
        <f>IF(OR($B94="",$G94=""),"",$B94+VLOOKUP($G94,Oppsett!$H$4:$J$7,2,FALSE)/24)</f>
        <v/>
      </c>
      <c r="O94" s="8">
        <f>IF(OR($B94="",$G94=""),"",$B94+VLOOKUP($G94,Oppsett!$H$4:$J$7,3,FALSE)/24)</f>
        <v/>
      </c>
      <c r="P94" s="8" t="n"/>
      <c r="Q94" s="8" t="n"/>
      <c r="R94">
        <f>IF($B94="","",IF($P94&lt;&gt;"",IF($P94&lt;=$N94,"OK","Påbegynt for sent"),IF(NOW()&gt;$N94,"FORFALT","Innen frist")))</f>
        <v/>
      </c>
      <c r="S94">
        <f>IF($B94="","",IF($Q94&lt;&gt;"",IF($Q94&lt;=$O94,"OK","Løst for sent"),IF(NOW()&gt;$O94,"FORFALT","Innen frist")))</f>
        <v/>
      </c>
      <c r="T94" s="10">
        <f>IF(OR($B94="",$Q94=""),"",ROUND(($Q94-$B94)*24,1))</f>
        <v/>
      </c>
    </row>
    <row r="95">
      <c r="A95">
        <f>IF($B95="","","SAK-"&amp;TEXT(ROW()-1,"0000"))</f>
        <v/>
      </c>
      <c r="B95" s="8">
        <f>IF($C95&amp;$H95="","",IF($B95="",NOW(),$B95))</f>
        <v/>
      </c>
      <c r="J95">
        <f>IF($F95="","",IFERROR(VLOOKUP($F95,Oppsett!$E$4:$F$11,2,FALSE),"– ikke tildelt –"))</f>
        <v/>
      </c>
      <c r="L95">
        <f>IF($B95="","",IF($K95&lt;&gt;"",$K95,$J95))</f>
        <v/>
      </c>
      <c r="N95" s="8">
        <f>IF(OR($B95="",$G95=""),"",$B95+VLOOKUP($G95,Oppsett!$H$4:$J$7,2,FALSE)/24)</f>
        <v/>
      </c>
      <c r="O95" s="8">
        <f>IF(OR($B95="",$G95=""),"",$B95+VLOOKUP($G95,Oppsett!$H$4:$J$7,3,FALSE)/24)</f>
        <v/>
      </c>
      <c r="P95" s="8" t="n"/>
      <c r="Q95" s="8" t="n"/>
      <c r="R95">
        <f>IF($B95="","",IF($P95&lt;&gt;"",IF($P95&lt;=$N95,"OK","Påbegynt for sent"),IF(NOW()&gt;$N95,"FORFALT","Innen frist")))</f>
        <v/>
      </c>
      <c r="S95">
        <f>IF($B95="","",IF($Q95&lt;&gt;"",IF($Q95&lt;=$O95,"OK","Løst for sent"),IF(NOW()&gt;$O95,"FORFALT","Innen frist")))</f>
        <v/>
      </c>
      <c r="T95" s="10">
        <f>IF(OR($B95="",$Q95=""),"",ROUND(($Q95-$B95)*24,1))</f>
        <v/>
      </c>
    </row>
    <row r="96">
      <c r="A96">
        <f>IF($B96="","","SAK-"&amp;TEXT(ROW()-1,"0000"))</f>
        <v/>
      </c>
      <c r="B96" s="8">
        <f>IF($C96&amp;$H96="","",IF($B96="",NOW(),$B96))</f>
        <v/>
      </c>
      <c r="J96">
        <f>IF($F96="","",IFERROR(VLOOKUP($F96,Oppsett!$E$4:$F$11,2,FALSE),"– ikke tildelt –"))</f>
        <v/>
      </c>
      <c r="L96">
        <f>IF($B96="","",IF($K96&lt;&gt;"",$K96,$J96))</f>
        <v/>
      </c>
      <c r="N96" s="8">
        <f>IF(OR($B96="",$G96=""),"",$B96+VLOOKUP($G96,Oppsett!$H$4:$J$7,2,FALSE)/24)</f>
        <v/>
      </c>
      <c r="O96" s="8">
        <f>IF(OR($B96="",$G96=""),"",$B96+VLOOKUP($G96,Oppsett!$H$4:$J$7,3,FALSE)/24)</f>
        <v/>
      </c>
      <c r="P96" s="8" t="n"/>
      <c r="Q96" s="8" t="n"/>
      <c r="R96">
        <f>IF($B96="","",IF($P96&lt;&gt;"",IF($P96&lt;=$N96,"OK","Påbegynt for sent"),IF(NOW()&gt;$N96,"FORFALT","Innen frist")))</f>
        <v/>
      </c>
      <c r="S96">
        <f>IF($B96="","",IF($Q96&lt;&gt;"",IF($Q96&lt;=$O96,"OK","Løst for sent"),IF(NOW()&gt;$O96,"FORFALT","Innen frist")))</f>
        <v/>
      </c>
      <c r="T96" s="10">
        <f>IF(OR($B96="",$Q96=""),"",ROUND(($Q96-$B96)*24,1))</f>
        <v/>
      </c>
    </row>
    <row r="97">
      <c r="A97">
        <f>IF($B97="","","SAK-"&amp;TEXT(ROW()-1,"0000"))</f>
        <v/>
      </c>
      <c r="B97" s="8">
        <f>IF($C97&amp;$H97="","",IF($B97="",NOW(),$B97))</f>
        <v/>
      </c>
      <c r="J97">
        <f>IF($F97="","",IFERROR(VLOOKUP($F97,Oppsett!$E$4:$F$11,2,FALSE),"– ikke tildelt –"))</f>
        <v/>
      </c>
      <c r="L97">
        <f>IF($B97="","",IF($K97&lt;&gt;"",$K97,$J97))</f>
        <v/>
      </c>
      <c r="N97" s="8">
        <f>IF(OR($B97="",$G97=""),"",$B97+VLOOKUP($G97,Oppsett!$H$4:$J$7,2,FALSE)/24)</f>
        <v/>
      </c>
      <c r="O97" s="8">
        <f>IF(OR($B97="",$G97=""),"",$B97+VLOOKUP($G97,Oppsett!$H$4:$J$7,3,FALSE)/24)</f>
        <v/>
      </c>
      <c r="P97" s="8" t="n"/>
      <c r="Q97" s="8" t="n"/>
      <c r="R97">
        <f>IF($B97="","",IF($P97&lt;&gt;"",IF($P97&lt;=$N97,"OK","Påbegynt for sent"),IF(NOW()&gt;$N97,"FORFALT","Innen frist")))</f>
        <v/>
      </c>
      <c r="S97">
        <f>IF($B97="","",IF($Q97&lt;&gt;"",IF($Q97&lt;=$O97,"OK","Løst for sent"),IF(NOW()&gt;$O97,"FORFALT","Innen frist")))</f>
        <v/>
      </c>
      <c r="T97" s="10">
        <f>IF(OR($B97="",$Q97=""),"",ROUND(($Q97-$B97)*24,1))</f>
        <v/>
      </c>
    </row>
    <row r="98">
      <c r="A98">
        <f>IF($B98="","","SAK-"&amp;TEXT(ROW()-1,"0000"))</f>
        <v/>
      </c>
      <c r="B98" s="8">
        <f>IF($C98&amp;$H98="","",IF($B98="",NOW(),$B98))</f>
        <v/>
      </c>
      <c r="J98">
        <f>IF($F98="","",IFERROR(VLOOKUP($F98,Oppsett!$E$4:$F$11,2,FALSE),"– ikke tildelt –"))</f>
        <v/>
      </c>
      <c r="L98">
        <f>IF($B98="","",IF($K98&lt;&gt;"",$K98,$J98))</f>
        <v/>
      </c>
      <c r="N98" s="8">
        <f>IF(OR($B98="",$G98=""),"",$B98+VLOOKUP($G98,Oppsett!$H$4:$J$7,2,FALSE)/24)</f>
        <v/>
      </c>
      <c r="O98" s="8">
        <f>IF(OR($B98="",$G98=""),"",$B98+VLOOKUP($G98,Oppsett!$H$4:$J$7,3,FALSE)/24)</f>
        <v/>
      </c>
      <c r="P98" s="8" t="n"/>
      <c r="Q98" s="8" t="n"/>
      <c r="R98">
        <f>IF($B98="","",IF($P98&lt;&gt;"",IF($P98&lt;=$N98,"OK","Påbegynt for sent"),IF(NOW()&gt;$N98,"FORFALT","Innen frist")))</f>
        <v/>
      </c>
      <c r="S98">
        <f>IF($B98="","",IF($Q98&lt;&gt;"",IF($Q98&lt;=$O98,"OK","Løst for sent"),IF(NOW()&gt;$O98,"FORFALT","Innen frist")))</f>
        <v/>
      </c>
      <c r="T98" s="10">
        <f>IF(OR($B98="",$Q98=""),"",ROUND(($Q98-$B98)*24,1))</f>
        <v/>
      </c>
    </row>
    <row r="99">
      <c r="A99">
        <f>IF($B99="","","SAK-"&amp;TEXT(ROW()-1,"0000"))</f>
        <v/>
      </c>
      <c r="B99" s="8">
        <f>IF($C99&amp;$H99="","",IF($B99="",NOW(),$B99))</f>
        <v/>
      </c>
      <c r="J99">
        <f>IF($F99="","",IFERROR(VLOOKUP($F99,Oppsett!$E$4:$F$11,2,FALSE),"– ikke tildelt –"))</f>
        <v/>
      </c>
      <c r="L99">
        <f>IF($B99="","",IF($K99&lt;&gt;"",$K99,$J99))</f>
        <v/>
      </c>
      <c r="N99" s="8">
        <f>IF(OR($B99="",$G99=""),"",$B99+VLOOKUP($G99,Oppsett!$H$4:$J$7,2,FALSE)/24)</f>
        <v/>
      </c>
      <c r="O99" s="8">
        <f>IF(OR($B99="",$G99=""),"",$B99+VLOOKUP($G99,Oppsett!$H$4:$J$7,3,FALSE)/24)</f>
        <v/>
      </c>
      <c r="P99" s="8" t="n"/>
      <c r="Q99" s="8" t="n"/>
      <c r="R99">
        <f>IF($B99="","",IF($P99&lt;&gt;"",IF($P99&lt;=$N99,"OK","Påbegynt for sent"),IF(NOW()&gt;$N99,"FORFALT","Innen frist")))</f>
        <v/>
      </c>
      <c r="S99">
        <f>IF($B99="","",IF($Q99&lt;&gt;"",IF($Q99&lt;=$O99,"OK","Løst for sent"),IF(NOW()&gt;$O99,"FORFALT","Innen frist")))</f>
        <v/>
      </c>
      <c r="T99" s="10">
        <f>IF(OR($B99="",$Q99=""),"",ROUND(($Q99-$B99)*24,1))</f>
        <v/>
      </c>
    </row>
    <row r="100">
      <c r="A100">
        <f>IF($B100="","","SAK-"&amp;TEXT(ROW()-1,"0000"))</f>
        <v/>
      </c>
      <c r="B100" s="8">
        <f>IF($C100&amp;$H100="","",IF($B100="",NOW(),$B100))</f>
        <v/>
      </c>
      <c r="J100">
        <f>IF($F100="","",IFERROR(VLOOKUP($F100,Oppsett!$E$4:$F$11,2,FALSE),"– ikke tildelt –"))</f>
        <v/>
      </c>
      <c r="L100">
        <f>IF($B100="","",IF($K100&lt;&gt;"",$K100,$J100))</f>
        <v/>
      </c>
      <c r="N100" s="8">
        <f>IF(OR($B100="",$G100=""),"",$B100+VLOOKUP($G100,Oppsett!$H$4:$J$7,2,FALSE)/24)</f>
        <v/>
      </c>
      <c r="O100" s="8">
        <f>IF(OR($B100="",$G100=""),"",$B100+VLOOKUP($G100,Oppsett!$H$4:$J$7,3,FALSE)/24)</f>
        <v/>
      </c>
      <c r="P100" s="8" t="n"/>
      <c r="Q100" s="8" t="n"/>
      <c r="R100">
        <f>IF($B100="","",IF($P100&lt;&gt;"",IF($P100&lt;=$N100,"OK","Påbegynt for sent"),IF(NOW()&gt;$N100,"FORFALT","Innen frist")))</f>
        <v/>
      </c>
      <c r="S100">
        <f>IF($B100="","",IF($Q100&lt;&gt;"",IF($Q100&lt;=$O100,"OK","Løst for sent"),IF(NOW()&gt;$O100,"FORFALT","Innen frist")))</f>
        <v/>
      </c>
      <c r="T100" s="10">
        <f>IF(OR($B100="",$Q100=""),"",ROUND(($Q100-$B100)*24,1))</f>
        <v/>
      </c>
    </row>
    <row r="101">
      <c r="A101">
        <f>IF($B101="","","SAK-"&amp;TEXT(ROW()-1,"0000"))</f>
        <v/>
      </c>
      <c r="B101" s="8">
        <f>IF($C101&amp;$H101="","",IF($B101="",NOW(),$B101))</f>
        <v/>
      </c>
      <c r="J101">
        <f>IF($F101="","",IFERROR(VLOOKUP($F101,Oppsett!$E$4:$F$11,2,FALSE),"– ikke tildelt –"))</f>
        <v/>
      </c>
      <c r="L101">
        <f>IF($B101="","",IF($K101&lt;&gt;"",$K101,$J101))</f>
        <v/>
      </c>
      <c r="N101" s="8">
        <f>IF(OR($B101="",$G101=""),"",$B101+VLOOKUP($G101,Oppsett!$H$4:$J$7,2,FALSE)/24)</f>
        <v/>
      </c>
      <c r="O101" s="8">
        <f>IF(OR($B101="",$G101=""),"",$B101+VLOOKUP($G101,Oppsett!$H$4:$J$7,3,FALSE)/24)</f>
        <v/>
      </c>
      <c r="P101" s="8" t="n"/>
      <c r="Q101" s="8" t="n"/>
      <c r="R101">
        <f>IF($B101="","",IF($P101&lt;&gt;"",IF($P101&lt;=$N101,"OK","Påbegynt for sent"),IF(NOW()&gt;$N101,"FORFALT","Innen frist")))</f>
        <v/>
      </c>
      <c r="S101">
        <f>IF($B101="","",IF($Q101&lt;&gt;"",IF($Q101&lt;=$O101,"OK","Løst for sent"),IF(NOW()&gt;$O101,"FORFALT","Innen frist")))</f>
        <v/>
      </c>
      <c r="T101" s="10">
        <f>IF(OR($B101="",$Q101=""),"",ROUND(($Q101-$B101)*24,1))</f>
        <v/>
      </c>
    </row>
    <row r="102">
      <c r="A102">
        <f>IF($B102="","","SAK-"&amp;TEXT(ROW()-1,"0000"))</f>
        <v/>
      </c>
      <c r="B102" s="8">
        <f>IF($C102&amp;$H102="","",IF($B102="",NOW(),$B102))</f>
        <v/>
      </c>
      <c r="J102">
        <f>IF($F102="","",IFERROR(VLOOKUP($F102,Oppsett!$E$4:$F$11,2,FALSE),"– ikke tildelt –"))</f>
        <v/>
      </c>
      <c r="L102">
        <f>IF($B102="","",IF($K102&lt;&gt;"",$K102,$J102))</f>
        <v/>
      </c>
      <c r="N102" s="8">
        <f>IF(OR($B102="",$G102=""),"",$B102+VLOOKUP($G102,Oppsett!$H$4:$J$7,2,FALSE)/24)</f>
        <v/>
      </c>
      <c r="O102" s="8">
        <f>IF(OR($B102="",$G102=""),"",$B102+VLOOKUP($G102,Oppsett!$H$4:$J$7,3,FALSE)/24)</f>
        <v/>
      </c>
      <c r="P102" s="8" t="n"/>
      <c r="Q102" s="8" t="n"/>
      <c r="R102">
        <f>IF($B102="","",IF($P102&lt;&gt;"",IF($P102&lt;=$N102,"OK","Påbegynt for sent"),IF(NOW()&gt;$N102,"FORFALT","Innen frist")))</f>
        <v/>
      </c>
      <c r="S102">
        <f>IF($B102="","",IF($Q102&lt;&gt;"",IF($Q102&lt;=$O102,"OK","Løst for sent"),IF(NOW()&gt;$O102,"FORFALT","Innen frist")))</f>
        <v/>
      </c>
      <c r="T102" s="10">
        <f>IF(OR($B102="",$Q102=""),"",ROUND(($Q102-$B102)*24,1))</f>
        <v/>
      </c>
    </row>
    <row r="103">
      <c r="A103">
        <f>IF($B103="","","SAK-"&amp;TEXT(ROW()-1,"0000"))</f>
        <v/>
      </c>
      <c r="B103" s="8">
        <f>IF($C103&amp;$H103="","",IF($B103="",NOW(),$B103))</f>
        <v/>
      </c>
      <c r="J103">
        <f>IF($F103="","",IFERROR(VLOOKUP($F103,Oppsett!$E$4:$F$11,2,FALSE),"– ikke tildelt –"))</f>
        <v/>
      </c>
      <c r="L103">
        <f>IF($B103="","",IF($K103&lt;&gt;"",$K103,$J103))</f>
        <v/>
      </c>
      <c r="N103" s="8">
        <f>IF(OR($B103="",$G103=""),"",$B103+VLOOKUP($G103,Oppsett!$H$4:$J$7,2,FALSE)/24)</f>
        <v/>
      </c>
      <c r="O103" s="8">
        <f>IF(OR($B103="",$G103=""),"",$B103+VLOOKUP($G103,Oppsett!$H$4:$J$7,3,FALSE)/24)</f>
        <v/>
      </c>
      <c r="P103" s="8" t="n"/>
      <c r="Q103" s="8" t="n"/>
      <c r="R103">
        <f>IF($B103="","",IF($P103&lt;&gt;"",IF($P103&lt;=$N103,"OK","Påbegynt for sent"),IF(NOW()&gt;$N103,"FORFALT","Innen frist")))</f>
        <v/>
      </c>
      <c r="S103">
        <f>IF($B103="","",IF($Q103&lt;&gt;"",IF($Q103&lt;=$O103,"OK","Løst for sent"),IF(NOW()&gt;$O103,"FORFALT","Innen frist")))</f>
        <v/>
      </c>
      <c r="T103" s="10">
        <f>IF(OR($B103="",$Q103=""),"",ROUND(($Q103-$B103)*24,1))</f>
        <v/>
      </c>
    </row>
    <row r="104">
      <c r="A104">
        <f>IF($B104="","","SAK-"&amp;TEXT(ROW()-1,"0000"))</f>
        <v/>
      </c>
      <c r="B104" s="8">
        <f>IF($C104&amp;$H104="","",IF($B104="",NOW(),$B104))</f>
        <v/>
      </c>
      <c r="J104">
        <f>IF($F104="","",IFERROR(VLOOKUP($F104,Oppsett!$E$4:$F$11,2,FALSE),"– ikke tildelt –"))</f>
        <v/>
      </c>
      <c r="L104">
        <f>IF($B104="","",IF($K104&lt;&gt;"",$K104,$J104))</f>
        <v/>
      </c>
      <c r="N104" s="8">
        <f>IF(OR($B104="",$G104=""),"",$B104+VLOOKUP($G104,Oppsett!$H$4:$J$7,2,FALSE)/24)</f>
        <v/>
      </c>
      <c r="O104" s="8">
        <f>IF(OR($B104="",$G104=""),"",$B104+VLOOKUP($G104,Oppsett!$H$4:$J$7,3,FALSE)/24)</f>
        <v/>
      </c>
      <c r="P104" s="8" t="n"/>
      <c r="Q104" s="8" t="n"/>
      <c r="R104">
        <f>IF($B104="","",IF($P104&lt;&gt;"",IF($P104&lt;=$N104,"OK","Påbegynt for sent"),IF(NOW()&gt;$N104,"FORFALT","Innen frist")))</f>
        <v/>
      </c>
      <c r="S104">
        <f>IF($B104="","",IF($Q104&lt;&gt;"",IF($Q104&lt;=$O104,"OK","Løst for sent"),IF(NOW()&gt;$O104,"FORFALT","Innen frist")))</f>
        <v/>
      </c>
      <c r="T104" s="10">
        <f>IF(OR($B104="",$Q104=""),"",ROUND(($Q104-$B104)*24,1))</f>
        <v/>
      </c>
    </row>
    <row r="105">
      <c r="A105">
        <f>IF($B105="","","SAK-"&amp;TEXT(ROW()-1,"0000"))</f>
        <v/>
      </c>
      <c r="B105" s="8">
        <f>IF($C105&amp;$H105="","",IF($B105="",NOW(),$B105))</f>
        <v/>
      </c>
      <c r="J105">
        <f>IF($F105="","",IFERROR(VLOOKUP($F105,Oppsett!$E$4:$F$11,2,FALSE),"– ikke tildelt –"))</f>
        <v/>
      </c>
      <c r="L105">
        <f>IF($B105="","",IF($K105&lt;&gt;"",$K105,$J105))</f>
        <v/>
      </c>
      <c r="N105" s="8">
        <f>IF(OR($B105="",$G105=""),"",$B105+VLOOKUP($G105,Oppsett!$H$4:$J$7,2,FALSE)/24)</f>
        <v/>
      </c>
      <c r="O105" s="8">
        <f>IF(OR($B105="",$G105=""),"",$B105+VLOOKUP($G105,Oppsett!$H$4:$J$7,3,FALSE)/24)</f>
        <v/>
      </c>
      <c r="P105" s="8" t="n"/>
      <c r="Q105" s="8" t="n"/>
      <c r="R105">
        <f>IF($B105="","",IF($P105&lt;&gt;"",IF($P105&lt;=$N105,"OK","Påbegynt for sent"),IF(NOW()&gt;$N105,"FORFALT","Innen frist")))</f>
        <v/>
      </c>
      <c r="S105">
        <f>IF($B105="","",IF($Q105&lt;&gt;"",IF($Q105&lt;=$O105,"OK","Løst for sent"),IF(NOW()&gt;$O105,"FORFALT","Innen frist")))</f>
        <v/>
      </c>
      <c r="T105" s="10">
        <f>IF(OR($B105="",$Q105=""),"",ROUND(($Q105-$B105)*24,1))</f>
        <v/>
      </c>
    </row>
    <row r="106">
      <c r="A106">
        <f>IF($B106="","","SAK-"&amp;TEXT(ROW()-1,"0000"))</f>
        <v/>
      </c>
      <c r="B106" s="8">
        <f>IF($C106&amp;$H106="","",IF($B106="",NOW(),$B106))</f>
        <v/>
      </c>
      <c r="J106">
        <f>IF($F106="","",IFERROR(VLOOKUP($F106,Oppsett!$E$4:$F$11,2,FALSE),"– ikke tildelt –"))</f>
        <v/>
      </c>
      <c r="L106">
        <f>IF($B106="","",IF($K106&lt;&gt;"",$K106,$J106))</f>
        <v/>
      </c>
      <c r="N106" s="8">
        <f>IF(OR($B106="",$G106=""),"",$B106+VLOOKUP($G106,Oppsett!$H$4:$J$7,2,FALSE)/24)</f>
        <v/>
      </c>
      <c r="O106" s="8">
        <f>IF(OR($B106="",$G106=""),"",$B106+VLOOKUP($G106,Oppsett!$H$4:$J$7,3,FALSE)/24)</f>
        <v/>
      </c>
      <c r="P106" s="8" t="n"/>
      <c r="Q106" s="8" t="n"/>
      <c r="R106">
        <f>IF($B106="","",IF($P106&lt;&gt;"",IF($P106&lt;=$N106,"OK","Påbegynt for sent"),IF(NOW()&gt;$N106,"FORFALT","Innen frist")))</f>
        <v/>
      </c>
      <c r="S106">
        <f>IF($B106="","",IF($Q106&lt;&gt;"",IF($Q106&lt;=$O106,"OK","Løst for sent"),IF(NOW()&gt;$O106,"FORFALT","Innen frist")))</f>
        <v/>
      </c>
      <c r="T106" s="10">
        <f>IF(OR($B106="",$Q106=""),"",ROUND(($Q106-$B106)*24,1))</f>
        <v/>
      </c>
    </row>
    <row r="107">
      <c r="A107">
        <f>IF($B107="","","SAK-"&amp;TEXT(ROW()-1,"0000"))</f>
        <v/>
      </c>
      <c r="B107" s="8">
        <f>IF($C107&amp;$H107="","",IF($B107="",NOW(),$B107))</f>
        <v/>
      </c>
      <c r="J107">
        <f>IF($F107="","",IFERROR(VLOOKUP($F107,Oppsett!$E$4:$F$11,2,FALSE),"– ikke tildelt –"))</f>
        <v/>
      </c>
      <c r="L107">
        <f>IF($B107="","",IF($K107&lt;&gt;"",$K107,$J107))</f>
        <v/>
      </c>
      <c r="N107" s="8">
        <f>IF(OR($B107="",$G107=""),"",$B107+VLOOKUP($G107,Oppsett!$H$4:$J$7,2,FALSE)/24)</f>
        <v/>
      </c>
      <c r="O107" s="8">
        <f>IF(OR($B107="",$G107=""),"",$B107+VLOOKUP($G107,Oppsett!$H$4:$J$7,3,FALSE)/24)</f>
        <v/>
      </c>
      <c r="P107" s="8" t="n"/>
      <c r="Q107" s="8" t="n"/>
      <c r="R107">
        <f>IF($B107="","",IF($P107&lt;&gt;"",IF($P107&lt;=$N107,"OK","Påbegynt for sent"),IF(NOW()&gt;$N107,"FORFALT","Innen frist")))</f>
        <v/>
      </c>
      <c r="S107">
        <f>IF($B107="","",IF($Q107&lt;&gt;"",IF($Q107&lt;=$O107,"OK","Løst for sent"),IF(NOW()&gt;$O107,"FORFALT","Innen frist")))</f>
        <v/>
      </c>
      <c r="T107" s="10">
        <f>IF(OR($B107="",$Q107=""),"",ROUND(($Q107-$B107)*24,1))</f>
        <v/>
      </c>
    </row>
    <row r="108">
      <c r="A108">
        <f>IF($B108="","","SAK-"&amp;TEXT(ROW()-1,"0000"))</f>
        <v/>
      </c>
      <c r="B108" s="8">
        <f>IF($C108&amp;$H108="","",IF($B108="",NOW(),$B108))</f>
        <v/>
      </c>
      <c r="J108">
        <f>IF($F108="","",IFERROR(VLOOKUP($F108,Oppsett!$E$4:$F$11,2,FALSE),"– ikke tildelt –"))</f>
        <v/>
      </c>
      <c r="L108">
        <f>IF($B108="","",IF($K108&lt;&gt;"",$K108,$J108))</f>
        <v/>
      </c>
      <c r="N108" s="8">
        <f>IF(OR($B108="",$G108=""),"",$B108+VLOOKUP($G108,Oppsett!$H$4:$J$7,2,FALSE)/24)</f>
        <v/>
      </c>
      <c r="O108" s="8">
        <f>IF(OR($B108="",$G108=""),"",$B108+VLOOKUP($G108,Oppsett!$H$4:$J$7,3,FALSE)/24)</f>
        <v/>
      </c>
      <c r="P108" s="8" t="n"/>
      <c r="Q108" s="8" t="n"/>
      <c r="R108">
        <f>IF($B108="","",IF($P108&lt;&gt;"",IF($P108&lt;=$N108,"OK","Påbegynt for sent"),IF(NOW()&gt;$N108,"FORFALT","Innen frist")))</f>
        <v/>
      </c>
      <c r="S108">
        <f>IF($B108="","",IF($Q108&lt;&gt;"",IF($Q108&lt;=$O108,"OK","Løst for sent"),IF(NOW()&gt;$O108,"FORFALT","Innen frist")))</f>
        <v/>
      </c>
      <c r="T108" s="10">
        <f>IF(OR($B108="",$Q108=""),"",ROUND(($Q108-$B108)*24,1))</f>
        <v/>
      </c>
    </row>
    <row r="109">
      <c r="A109">
        <f>IF($B109="","","SAK-"&amp;TEXT(ROW()-1,"0000"))</f>
        <v/>
      </c>
      <c r="B109" s="8">
        <f>IF($C109&amp;$H109="","",IF($B109="",NOW(),$B109))</f>
        <v/>
      </c>
      <c r="J109">
        <f>IF($F109="","",IFERROR(VLOOKUP($F109,Oppsett!$E$4:$F$11,2,FALSE),"– ikke tildelt –"))</f>
        <v/>
      </c>
      <c r="L109">
        <f>IF($B109="","",IF($K109&lt;&gt;"",$K109,$J109))</f>
        <v/>
      </c>
      <c r="N109" s="8">
        <f>IF(OR($B109="",$G109=""),"",$B109+VLOOKUP($G109,Oppsett!$H$4:$J$7,2,FALSE)/24)</f>
        <v/>
      </c>
      <c r="O109" s="8">
        <f>IF(OR($B109="",$G109=""),"",$B109+VLOOKUP($G109,Oppsett!$H$4:$J$7,3,FALSE)/24)</f>
        <v/>
      </c>
      <c r="P109" s="8" t="n"/>
      <c r="Q109" s="8" t="n"/>
      <c r="R109">
        <f>IF($B109="","",IF($P109&lt;&gt;"",IF($P109&lt;=$N109,"OK","Påbegynt for sent"),IF(NOW()&gt;$N109,"FORFALT","Innen frist")))</f>
        <v/>
      </c>
      <c r="S109">
        <f>IF($B109="","",IF($Q109&lt;&gt;"",IF($Q109&lt;=$O109,"OK","Løst for sent"),IF(NOW()&gt;$O109,"FORFALT","Innen frist")))</f>
        <v/>
      </c>
      <c r="T109" s="10">
        <f>IF(OR($B109="",$Q109=""),"",ROUND(($Q109-$B109)*24,1))</f>
        <v/>
      </c>
    </row>
    <row r="110">
      <c r="A110">
        <f>IF($B110="","","SAK-"&amp;TEXT(ROW()-1,"0000"))</f>
        <v/>
      </c>
      <c r="B110" s="8">
        <f>IF($C110&amp;$H110="","",IF($B110="",NOW(),$B110))</f>
        <v/>
      </c>
      <c r="J110">
        <f>IF($F110="","",IFERROR(VLOOKUP($F110,Oppsett!$E$4:$F$11,2,FALSE),"– ikke tildelt –"))</f>
        <v/>
      </c>
      <c r="L110">
        <f>IF($B110="","",IF($K110&lt;&gt;"",$K110,$J110))</f>
        <v/>
      </c>
      <c r="N110" s="8">
        <f>IF(OR($B110="",$G110=""),"",$B110+VLOOKUP($G110,Oppsett!$H$4:$J$7,2,FALSE)/24)</f>
        <v/>
      </c>
      <c r="O110" s="8">
        <f>IF(OR($B110="",$G110=""),"",$B110+VLOOKUP($G110,Oppsett!$H$4:$J$7,3,FALSE)/24)</f>
        <v/>
      </c>
      <c r="P110" s="8" t="n"/>
      <c r="Q110" s="8" t="n"/>
      <c r="R110">
        <f>IF($B110="","",IF($P110&lt;&gt;"",IF($P110&lt;=$N110,"OK","Påbegynt for sent"),IF(NOW()&gt;$N110,"FORFALT","Innen frist")))</f>
        <v/>
      </c>
      <c r="S110">
        <f>IF($B110="","",IF($Q110&lt;&gt;"",IF($Q110&lt;=$O110,"OK","Løst for sent"),IF(NOW()&gt;$O110,"FORFALT","Innen frist")))</f>
        <v/>
      </c>
      <c r="T110" s="10">
        <f>IF(OR($B110="",$Q110=""),"",ROUND(($Q110-$B110)*24,1))</f>
        <v/>
      </c>
    </row>
    <row r="111">
      <c r="A111">
        <f>IF($B111="","","SAK-"&amp;TEXT(ROW()-1,"0000"))</f>
        <v/>
      </c>
      <c r="B111" s="8">
        <f>IF($C111&amp;$H111="","",IF($B111="",NOW(),$B111))</f>
        <v/>
      </c>
      <c r="J111">
        <f>IF($F111="","",IFERROR(VLOOKUP($F111,Oppsett!$E$4:$F$11,2,FALSE),"– ikke tildelt –"))</f>
        <v/>
      </c>
      <c r="L111">
        <f>IF($B111="","",IF($K111&lt;&gt;"",$K111,$J111))</f>
        <v/>
      </c>
      <c r="N111" s="8">
        <f>IF(OR($B111="",$G111=""),"",$B111+VLOOKUP($G111,Oppsett!$H$4:$J$7,2,FALSE)/24)</f>
        <v/>
      </c>
      <c r="O111" s="8">
        <f>IF(OR($B111="",$G111=""),"",$B111+VLOOKUP($G111,Oppsett!$H$4:$J$7,3,FALSE)/24)</f>
        <v/>
      </c>
      <c r="P111" s="8" t="n"/>
      <c r="Q111" s="8" t="n"/>
      <c r="R111">
        <f>IF($B111="","",IF($P111&lt;&gt;"",IF($P111&lt;=$N111,"OK","Påbegynt for sent"),IF(NOW()&gt;$N111,"FORFALT","Innen frist")))</f>
        <v/>
      </c>
      <c r="S111">
        <f>IF($B111="","",IF($Q111&lt;&gt;"",IF($Q111&lt;=$O111,"OK","Løst for sent"),IF(NOW()&gt;$O111,"FORFALT","Innen frist")))</f>
        <v/>
      </c>
      <c r="T111" s="10">
        <f>IF(OR($B111="",$Q111=""),"",ROUND(($Q111-$B111)*24,1))</f>
        <v/>
      </c>
    </row>
    <row r="112">
      <c r="A112">
        <f>IF($B112="","","SAK-"&amp;TEXT(ROW()-1,"0000"))</f>
        <v/>
      </c>
      <c r="B112" s="8">
        <f>IF($C112&amp;$H112="","",IF($B112="",NOW(),$B112))</f>
        <v/>
      </c>
      <c r="J112">
        <f>IF($F112="","",IFERROR(VLOOKUP($F112,Oppsett!$E$4:$F$11,2,FALSE),"– ikke tildelt –"))</f>
        <v/>
      </c>
      <c r="L112">
        <f>IF($B112="","",IF($K112&lt;&gt;"",$K112,$J112))</f>
        <v/>
      </c>
      <c r="N112" s="8">
        <f>IF(OR($B112="",$G112=""),"",$B112+VLOOKUP($G112,Oppsett!$H$4:$J$7,2,FALSE)/24)</f>
        <v/>
      </c>
      <c r="O112" s="8">
        <f>IF(OR($B112="",$G112=""),"",$B112+VLOOKUP($G112,Oppsett!$H$4:$J$7,3,FALSE)/24)</f>
        <v/>
      </c>
      <c r="P112" s="8" t="n"/>
      <c r="Q112" s="8" t="n"/>
      <c r="R112">
        <f>IF($B112="","",IF($P112&lt;&gt;"",IF($P112&lt;=$N112,"OK","Påbegynt for sent"),IF(NOW()&gt;$N112,"FORFALT","Innen frist")))</f>
        <v/>
      </c>
      <c r="S112">
        <f>IF($B112="","",IF($Q112&lt;&gt;"",IF($Q112&lt;=$O112,"OK","Løst for sent"),IF(NOW()&gt;$O112,"FORFALT","Innen frist")))</f>
        <v/>
      </c>
      <c r="T112" s="10">
        <f>IF(OR($B112="",$Q112=""),"",ROUND(($Q112-$B112)*24,1))</f>
        <v/>
      </c>
    </row>
    <row r="113">
      <c r="A113">
        <f>IF($B113="","","SAK-"&amp;TEXT(ROW()-1,"0000"))</f>
        <v/>
      </c>
      <c r="B113" s="8">
        <f>IF($C113&amp;$H113="","",IF($B113="",NOW(),$B113))</f>
        <v/>
      </c>
      <c r="J113">
        <f>IF($F113="","",IFERROR(VLOOKUP($F113,Oppsett!$E$4:$F$11,2,FALSE),"– ikke tildelt –"))</f>
        <v/>
      </c>
      <c r="L113">
        <f>IF($B113="","",IF($K113&lt;&gt;"",$K113,$J113))</f>
        <v/>
      </c>
      <c r="N113" s="8">
        <f>IF(OR($B113="",$G113=""),"",$B113+VLOOKUP($G113,Oppsett!$H$4:$J$7,2,FALSE)/24)</f>
        <v/>
      </c>
      <c r="O113" s="8">
        <f>IF(OR($B113="",$G113=""),"",$B113+VLOOKUP($G113,Oppsett!$H$4:$J$7,3,FALSE)/24)</f>
        <v/>
      </c>
      <c r="P113" s="8" t="n"/>
      <c r="Q113" s="8" t="n"/>
      <c r="R113">
        <f>IF($B113="","",IF($P113&lt;&gt;"",IF($P113&lt;=$N113,"OK","Påbegynt for sent"),IF(NOW()&gt;$N113,"FORFALT","Innen frist")))</f>
        <v/>
      </c>
      <c r="S113">
        <f>IF($B113="","",IF($Q113&lt;&gt;"",IF($Q113&lt;=$O113,"OK","Løst for sent"),IF(NOW()&gt;$O113,"FORFALT","Innen frist")))</f>
        <v/>
      </c>
      <c r="T113" s="10">
        <f>IF(OR($B113="",$Q113=""),"",ROUND(($Q113-$B113)*24,1))</f>
        <v/>
      </c>
    </row>
    <row r="114">
      <c r="A114">
        <f>IF($B114="","","SAK-"&amp;TEXT(ROW()-1,"0000"))</f>
        <v/>
      </c>
      <c r="B114" s="8">
        <f>IF($C114&amp;$H114="","",IF($B114="",NOW(),$B114))</f>
        <v/>
      </c>
      <c r="J114">
        <f>IF($F114="","",IFERROR(VLOOKUP($F114,Oppsett!$E$4:$F$11,2,FALSE),"– ikke tildelt –"))</f>
        <v/>
      </c>
      <c r="L114">
        <f>IF($B114="","",IF($K114&lt;&gt;"",$K114,$J114))</f>
        <v/>
      </c>
      <c r="N114" s="8">
        <f>IF(OR($B114="",$G114=""),"",$B114+VLOOKUP($G114,Oppsett!$H$4:$J$7,2,FALSE)/24)</f>
        <v/>
      </c>
      <c r="O114" s="8">
        <f>IF(OR($B114="",$G114=""),"",$B114+VLOOKUP($G114,Oppsett!$H$4:$J$7,3,FALSE)/24)</f>
        <v/>
      </c>
      <c r="P114" s="8" t="n"/>
      <c r="Q114" s="8" t="n"/>
      <c r="R114">
        <f>IF($B114="","",IF($P114&lt;&gt;"",IF($P114&lt;=$N114,"OK","Påbegynt for sent"),IF(NOW()&gt;$N114,"FORFALT","Innen frist")))</f>
        <v/>
      </c>
      <c r="S114">
        <f>IF($B114="","",IF($Q114&lt;&gt;"",IF($Q114&lt;=$O114,"OK","Løst for sent"),IF(NOW()&gt;$O114,"FORFALT","Innen frist")))</f>
        <v/>
      </c>
      <c r="T114" s="10">
        <f>IF(OR($B114="",$Q114=""),"",ROUND(($Q114-$B114)*24,1))</f>
        <v/>
      </c>
    </row>
    <row r="115">
      <c r="A115">
        <f>IF($B115="","","SAK-"&amp;TEXT(ROW()-1,"0000"))</f>
        <v/>
      </c>
      <c r="B115" s="8">
        <f>IF($C115&amp;$H115="","",IF($B115="",NOW(),$B115))</f>
        <v/>
      </c>
      <c r="J115">
        <f>IF($F115="","",IFERROR(VLOOKUP($F115,Oppsett!$E$4:$F$11,2,FALSE),"– ikke tildelt –"))</f>
        <v/>
      </c>
      <c r="L115">
        <f>IF($B115="","",IF($K115&lt;&gt;"",$K115,$J115))</f>
        <v/>
      </c>
      <c r="N115" s="8">
        <f>IF(OR($B115="",$G115=""),"",$B115+VLOOKUP($G115,Oppsett!$H$4:$J$7,2,FALSE)/24)</f>
        <v/>
      </c>
      <c r="O115" s="8">
        <f>IF(OR($B115="",$G115=""),"",$B115+VLOOKUP($G115,Oppsett!$H$4:$J$7,3,FALSE)/24)</f>
        <v/>
      </c>
      <c r="P115" s="8" t="n"/>
      <c r="Q115" s="8" t="n"/>
      <c r="R115">
        <f>IF($B115="","",IF($P115&lt;&gt;"",IF($P115&lt;=$N115,"OK","Påbegynt for sent"),IF(NOW()&gt;$N115,"FORFALT","Innen frist")))</f>
        <v/>
      </c>
      <c r="S115">
        <f>IF($B115="","",IF($Q115&lt;&gt;"",IF($Q115&lt;=$O115,"OK","Løst for sent"),IF(NOW()&gt;$O115,"FORFALT","Innen frist")))</f>
        <v/>
      </c>
      <c r="T115" s="10">
        <f>IF(OR($B115="",$Q115=""),"",ROUND(($Q115-$B115)*24,1))</f>
        <v/>
      </c>
    </row>
    <row r="116">
      <c r="A116">
        <f>IF($B116="","","SAK-"&amp;TEXT(ROW()-1,"0000"))</f>
        <v/>
      </c>
      <c r="B116" s="8">
        <f>IF($C116&amp;$H116="","",IF($B116="",NOW(),$B116))</f>
        <v/>
      </c>
      <c r="J116">
        <f>IF($F116="","",IFERROR(VLOOKUP($F116,Oppsett!$E$4:$F$11,2,FALSE),"– ikke tildelt –"))</f>
        <v/>
      </c>
      <c r="L116">
        <f>IF($B116="","",IF($K116&lt;&gt;"",$K116,$J116))</f>
        <v/>
      </c>
      <c r="N116" s="8">
        <f>IF(OR($B116="",$G116=""),"",$B116+VLOOKUP($G116,Oppsett!$H$4:$J$7,2,FALSE)/24)</f>
        <v/>
      </c>
      <c r="O116" s="8">
        <f>IF(OR($B116="",$G116=""),"",$B116+VLOOKUP($G116,Oppsett!$H$4:$J$7,3,FALSE)/24)</f>
        <v/>
      </c>
      <c r="P116" s="8" t="n"/>
      <c r="Q116" s="8" t="n"/>
      <c r="R116">
        <f>IF($B116="","",IF($P116&lt;&gt;"",IF($P116&lt;=$N116,"OK","Påbegynt for sent"),IF(NOW()&gt;$N116,"FORFALT","Innen frist")))</f>
        <v/>
      </c>
      <c r="S116">
        <f>IF($B116="","",IF($Q116&lt;&gt;"",IF($Q116&lt;=$O116,"OK","Løst for sent"),IF(NOW()&gt;$O116,"FORFALT","Innen frist")))</f>
        <v/>
      </c>
      <c r="T116" s="10">
        <f>IF(OR($B116="",$Q116=""),"",ROUND(($Q116-$B116)*24,1))</f>
        <v/>
      </c>
    </row>
    <row r="117">
      <c r="A117">
        <f>IF($B117="","","SAK-"&amp;TEXT(ROW()-1,"0000"))</f>
        <v/>
      </c>
      <c r="B117" s="8">
        <f>IF($C117&amp;$H117="","",IF($B117="",NOW(),$B117))</f>
        <v/>
      </c>
      <c r="J117">
        <f>IF($F117="","",IFERROR(VLOOKUP($F117,Oppsett!$E$4:$F$11,2,FALSE),"– ikke tildelt –"))</f>
        <v/>
      </c>
      <c r="L117">
        <f>IF($B117="","",IF($K117&lt;&gt;"",$K117,$J117))</f>
        <v/>
      </c>
      <c r="N117" s="8">
        <f>IF(OR($B117="",$G117=""),"",$B117+VLOOKUP($G117,Oppsett!$H$4:$J$7,2,FALSE)/24)</f>
        <v/>
      </c>
      <c r="O117" s="8">
        <f>IF(OR($B117="",$G117=""),"",$B117+VLOOKUP($G117,Oppsett!$H$4:$J$7,3,FALSE)/24)</f>
        <v/>
      </c>
      <c r="P117" s="8" t="n"/>
      <c r="Q117" s="8" t="n"/>
      <c r="R117">
        <f>IF($B117="","",IF($P117&lt;&gt;"",IF($P117&lt;=$N117,"OK","Påbegynt for sent"),IF(NOW()&gt;$N117,"FORFALT","Innen frist")))</f>
        <v/>
      </c>
      <c r="S117">
        <f>IF($B117="","",IF($Q117&lt;&gt;"",IF($Q117&lt;=$O117,"OK","Løst for sent"),IF(NOW()&gt;$O117,"FORFALT","Innen frist")))</f>
        <v/>
      </c>
      <c r="T117" s="10">
        <f>IF(OR($B117="",$Q117=""),"",ROUND(($Q117-$B117)*24,1))</f>
        <v/>
      </c>
    </row>
    <row r="118">
      <c r="A118">
        <f>IF($B118="","","SAK-"&amp;TEXT(ROW()-1,"0000"))</f>
        <v/>
      </c>
      <c r="B118" s="8">
        <f>IF($C118&amp;$H118="","",IF($B118="",NOW(),$B118))</f>
        <v/>
      </c>
      <c r="J118">
        <f>IF($F118="","",IFERROR(VLOOKUP($F118,Oppsett!$E$4:$F$11,2,FALSE),"– ikke tildelt –"))</f>
        <v/>
      </c>
      <c r="L118">
        <f>IF($B118="","",IF($K118&lt;&gt;"",$K118,$J118))</f>
        <v/>
      </c>
      <c r="N118" s="8">
        <f>IF(OR($B118="",$G118=""),"",$B118+VLOOKUP($G118,Oppsett!$H$4:$J$7,2,FALSE)/24)</f>
        <v/>
      </c>
      <c r="O118" s="8">
        <f>IF(OR($B118="",$G118=""),"",$B118+VLOOKUP($G118,Oppsett!$H$4:$J$7,3,FALSE)/24)</f>
        <v/>
      </c>
      <c r="P118" s="8" t="n"/>
      <c r="Q118" s="8" t="n"/>
      <c r="R118">
        <f>IF($B118="","",IF($P118&lt;&gt;"",IF($P118&lt;=$N118,"OK","Påbegynt for sent"),IF(NOW()&gt;$N118,"FORFALT","Innen frist")))</f>
        <v/>
      </c>
      <c r="S118">
        <f>IF($B118="","",IF($Q118&lt;&gt;"",IF($Q118&lt;=$O118,"OK","Løst for sent"),IF(NOW()&gt;$O118,"FORFALT","Innen frist")))</f>
        <v/>
      </c>
      <c r="T118" s="10">
        <f>IF(OR($B118="",$Q118=""),"",ROUND(($Q118-$B118)*24,1))</f>
        <v/>
      </c>
    </row>
    <row r="119">
      <c r="A119">
        <f>IF($B119="","","SAK-"&amp;TEXT(ROW()-1,"0000"))</f>
        <v/>
      </c>
      <c r="B119" s="8">
        <f>IF($C119&amp;$H119="","",IF($B119="",NOW(),$B119))</f>
        <v/>
      </c>
      <c r="J119">
        <f>IF($F119="","",IFERROR(VLOOKUP($F119,Oppsett!$E$4:$F$11,2,FALSE),"– ikke tildelt –"))</f>
        <v/>
      </c>
      <c r="L119">
        <f>IF($B119="","",IF($K119&lt;&gt;"",$K119,$J119))</f>
        <v/>
      </c>
      <c r="N119" s="8">
        <f>IF(OR($B119="",$G119=""),"",$B119+VLOOKUP($G119,Oppsett!$H$4:$J$7,2,FALSE)/24)</f>
        <v/>
      </c>
      <c r="O119" s="8">
        <f>IF(OR($B119="",$G119=""),"",$B119+VLOOKUP($G119,Oppsett!$H$4:$J$7,3,FALSE)/24)</f>
        <v/>
      </c>
      <c r="P119" s="8" t="n"/>
      <c r="Q119" s="8" t="n"/>
      <c r="R119">
        <f>IF($B119="","",IF($P119&lt;&gt;"",IF($P119&lt;=$N119,"OK","Påbegynt for sent"),IF(NOW()&gt;$N119,"FORFALT","Innen frist")))</f>
        <v/>
      </c>
      <c r="S119">
        <f>IF($B119="","",IF($Q119&lt;&gt;"",IF($Q119&lt;=$O119,"OK","Løst for sent"),IF(NOW()&gt;$O119,"FORFALT","Innen frist")))</f>
        <v/>
      </c>
      <c r="T119" s="10">
        <f>IF(OR($B119="",$Q119=""),"",ROUND(($Q119-$B119)*24,1))</f>
        <v/>
      </c>
    </row>
    <row r="120">
      <c r="A120">
        <f>IF($B120="","","SAK-"&amp;TEXT(ROW()-1,"0000"))</f>
        <v/>
      </c>
      <c r="B120" s="8">
        <f>IF($C120&amp;$H120="","",IF($B120="",NOW(),$B120))</f>
        <v/>
      </c>
      <c r="J120">
        <f>IF($F120="","",IFERROR(VLOOKUP($F120,Oppsett!$E$4:$F$11,2,FALSE),"– ikke tildelt –"))</f>
        <v/>
      </c>
      <c r="L120">
        <f>IF($B120="","",IF($K120&lt;&gt;"",$K120,$J120))</f>
        <v/>
      </c>
      <c r="N120" s="8">
        <f>IF(OR($B120="",$G120=""),"",$B120+VLOOKUP($G120,Oppsett!$H$4:$J$7,2,FALSE)/24)</f>
        <v/>
      </c>
      <c r="O120" s="8">
        <f>IF(OR($B120="",$G120=""),"",$B120+VLOOKUP($G120,Oppsett!$H$4:$J$7,3,FALSE)/24)</f>
        <v/>
      </c>
      <c r="P120" s="8" t="n"/>
      <c r="Q120" s="8" t="n"/>
      <c r="R120">
        <f>IF($B120="","",IF($P120&lt;&gt;"",IF($P120&lt;=$N120,"OK","Påbegynt for sent"),IF(NOW()&gt;$N120,"FORFALT","Innen frist")))</f>
        <v/>
      </c>
      <c r="S120">
        <f>IF($B120="","",IF($Q120&lt;&gt;"",IF($Q120&lt;=$O120,"OK","Løst for sent"),IF(NOW()&gt;$O120,"FORFALT","Innen frist")))</f>
        <v/>
      </c>
      <c r="T120" s="10">
        <f>IF(OR($B120="",$Q120=""),"",ROUND(($Q120-$B120)*24,1))</f>
        <v/>
      </c>
    </row>
    <row r="121">
      <c r="A121">
        <f>IF($B121="","","SAK-"&amp;TEXT(ROW()-1,"0000"))</f>
        <v/>
      </c>
      <c r="B121" s="8">
        <f>IF($C121&amp;$H121="","",IF($B121="",NOW(),$B121))</f>
        <v/>
      </c>
      <c r="J121">
        <f>IF($F121="","",IFERROR(VLOOKUP($F121,Oppsett!$E$4:$F$11,2,FALSE),"– ikke tildelt –"))</f>
        <v/>
      </c>
      <c r="L121">
        <f>IF($B121="","",IF($K121&lt;&gt;"",$K121,$J121))</f>
        <v/>
      </c>
      <c r="N121" s="8">
        <f>IF(OR($B121="",$G121=""),"",$B121+VLOOKUP($G121,Oppsett!$H$4:$J$7,2,FALSE)/24)</f>
        <v/>
      </c>
      <c r="O121" s="8">
        <f>IF(OR($B121="",$G121=""),"",$B121+VLOOKUP($G121,Oppsett!$H$4:$J$7,3,FALSE)/24)</f>
        <v/>
      </c>
      <c r="P121" s="8" t="n"/>
      <c r="Q121" s="8" t="n"/>
      <c r="R121">
        <f>IF($B121="","",IF($P121&lt;&gt;"",IF($P121&lt;=$N121,"OK","Påbegynt for sent"),IF(NOW()&gt;$N121,"FORFALT","Innen frist")))</f>
        <v/>
      </c>
      <c r="S121">
        <f>IF($B121="","",IF($Q121&lt;&gt;"",IF($Q121&lt;=$O121,"OK","Løst for sent"),IF(NOW()&gt;$O121,"FORFALT","Innen frist")))</f>
        <v/>
      </c>
      <c r="T121" s="10">
        <f>IF(OR($B121="",$Q121=""),"",ROUND(($Q121-$B121)*24,1))</f>
        <v/>
      </c>
    </row>
    <row r="122">
      <c r="A122">
        <f>IF($B122="","","SAK-"&amp;TEXT(ROW()-1,"0000"))</f>
        <v/>
      </c>
      <c r="B122" s="8">
        <f>IF($C122&amp;$H122="","",IF($B122="",NOW(),$B122))</f>
        <v/>
      </c>
      <c r="J122">
        <f>IF($F122="","",IFERROR(VLOOKUP($F122,Oppsett!$E$4:$F$11,2,FALSE),"– ikke tildelt –"))</f>
        <v/>
      </c>
      <c r="L122">
        <f>IF($B122="","",IF($K122&lt;&gt;"",$K122,$J122))</f>
        <v/>
      </c>
      <c r="N122" s="8">
        <f>IF(OR($B122="",$G122=""),"",$B122+VLOOKUP($G122,Oppsett!$H$4:$J$7,2,FALSE)/24)</f>
        <v/>
      </c>
      <c r="O122" s="8">
        <f>IF(OR($B122="",$G122=""),"",$B122+VLOOKUP($G122,Oppsett!$H$4:$J$7,3,FALSE)/24)</f>
        <v/>
      </c>
      <c r="P122" s="8" t="n"/>
      <c r="Q122" s="8" t="n"/>
      <c r="R122">
        <f>IF($B122="","",IF($P122&lt;&gt;"",IF($P122&lt;=$N122,"OK","Påbegynt for sent"),IF(NOW()&gt;$N122,"FORFALT","Innen frist")))</f>
        <v/>
      </c>
      <c r="S122">
        <f>IF($B122="","",IF($Q122&lt;&gt;"",IF($Q122&lt;=$O122,"OK","Løst for sent"),IF(NOW()&gt;$O122,"FORFALT","Innen frist")))</f>
        <v/>
      </c>
      <c r="T122" s="10">
        <f>IF(OR($B122="",$Q122=""),"",ROUND(($Q122-$B122)*24,1))</f>
        <v/>
      </c>
    </row>
    <row r="123">
      <c r="A123">
        <f>IF($B123="","","SAK-"&amp;TEXT(ROW()-1,"0000"))</f>
        <v/>
      </c>
      <c r="B123" s="8">
        <f>IF($C123&amp;$H123="","",IF($B123="",NOW(),$B123))</f>
        <v/>
      </c>
      <c r="J123">
        <f>IF($F123="","",IFERROR(VLOOKUP($F123,Oppsett!$E$4:$F$11,2,FALSE),"– ikke tildelt –"))</f>
        <v/>
      </c>
      <c r="L123">
        <f>IF($B123="","",IF($K123&lt;&gt;"",$K123,$J123))</f>
        <v/>
      </c>
      <c r="N123" s="8">
        <f>IF(OR($B123="",$G123=""),"",$B123+VLOOKUP($G123,Oppsett!$H$4:$J$7,2,FALSE)/24)</f>
        <v/>
      </c>
      <c r="O123" s="8">
        <f>IF(OR($B123="",$G123=""),"",$B123+VLOOKUP($G123,Oppsett!$H$4:$J$7,3,FALSE)/24)</f>
        <v/>
      </c>
      <c r="P123" s="8" t="n"/>
      <c r="Q123" s="8" t="n"/>
      <c r="R123">
        <f>IF($B123="","",IF($P123&lt;&gt;"",IF($P123&lt;=$N123,"OK","Påbegynt for sent"),IF(NOW()&gt;$N123,"FORFALT","Innen frist")))</f>
        <v/>
      </c>
      <c r="S123">
        <f>IF($B123="","",IF($Q123&lt;&gt;"",IF($Q123&lt;=$O123,"OK","Løst for sent"),IF(NOW()&gt;$O123,"FORFALT","Innen frist")))</f>
        <v/>
      </c>
      <c r="T123" s="10">
        <f>IF(OR($B123="",$Q123=""),"",ROUND(($Q123-$B123)*24,1))</f>
        <v/>
      </c>
    </row>
    <row r="124">
      <c r="A124">
        <f>IF($B124="","","SAK-"&amp;TEXT(ROW()-1,"0000"))</f>
        <v/>
      </c>
      <c r="B124" s="8">
        <f>IF($C124&amp;$H124="","",IF($B124="",NOW(),$B124))</f>
        <v/>
      </c>
      <c r="J124">
        <f>IF($F124="","",IFERROR(VLOOKUP($F124,Oppsett!$E$4:$F$11,2,FALSE),"– ikke tildelt –"))</f>
        <v/>
      </c>
      <c r="L124">
        <f>IF($B124="","",IF($K124&lt;&gt;"",$K124,$J124))</f>
        <v/>
      </c>
      <c r="N124" s="8">
        <f>IF(OR($B124="",$G124=""),"",$B124+VLOOKUP($G124,Oppsett!$H$4:$J$7,2,FALSE)/24)</f>
        <v/>
      </c>
      <c r="O124" s="8">
        <f>IF(OR($B124="",$G124=""),"",$B124+VLOOKUP($G124,Oppsett!$H$4:$J$7,3,FALSE)/24)</f>
        <v/>
      </c>
      <c r="P124" s="8" t="n"/>
      <c r="Q124" s="8" t="n"/>
      <c r="R124">
        <f>IF($B124="","",IF($P124&lt;&gt;"",IF($P124&lt;=$N124,"OK","Påbegynt for sent"),IF(NOW()&gt;$N124,"FORFALT","Innen frist")))</f>
        <v/>
      </c>
      <c r="S124">
        <f>IF($B124="","",IF($Q124&lt;&gt;"",IF($Q124&lt;=$O124,"OK","Løst for sent"),IF(NOW()&gt;$O124,"FORFALT","Innen frist")))</f>
        <v/>
      </c>
      <c r="T124" s="10">
        <f>IF(OR($B124="",$Q124=""),"",ROUND(($Q124-$B124)*24,1))</f>
        <v/>
      </c>
    </row>
    <row r="125">
      <c r="A125">
        <f>IF($B125="","","SAK-"&amp;TEXT(ROW()-1,"0000"))</f>
        <v/>
      </c>
      <c r="B125" s="8">
        <f>IF($C125&amp;$H125="","",IF($B125="",NOW(),$B125))</f>
        <v/>
      </c>
      <c r="J125">
        <f>IF($F125="","",IFERROR(VLOOKUP($F125,Oppsett!$E$4:$F$11,2,FALSE),"– ikke tildelt –"))</f>
        <v/>
      </c>
      <c r="L125">
        <f>IF($B125="","",IF($K125&lt;&gt;"",$K125,$J125))</f>
        <v/>
      </c>
      <c r="N125" s="8">
        <f>IF(OR($B125="",$G125=""),"",$B125+VLOOKUP($G125,Oppsett!$H$4:$J$7,2,FALSE)/24)</f>
        <v/>
      </c>
      <c r="O125" s="8">
        <f>IF(OR($B125="",$G125=""),"",$B125+VLOOKUP($G125,Oppsett!$H$4:$J$7,3,FALSE)/24)</f>
        <v/>
      </c>
      <c r="P125" s="8" t="n"/>
      <c r="Q125" s="8" t="n"/>
      <c r="R125">
        <f>IF($B125="","",IF($P125&lt;&gt;"",IF($P125&lt;=$N125,"OK","Påbegynt for sent"),IF(NOW()&gt;$N125,"FORFALT","Innen frist")))</f>
        <v/>
      </c>
      <c r="S125">
        <f>IF($B125="","",IF($Q125&lt;&gt;"",IF($Q125&lt;=$O125,"OK","Løst for sent"),IF(NOW()&gt;$O125,"FORFALT","Innen frist")))</f>
        <v/>
      </c>
      <c r="T125" s="10">
        <f>IF(OR($B125="",$Q125=""),"",ROUND(($Q125-$B125)*24,1))</f>
        <v/>
      </c>
    </row>
    <row r="126">
      <c r="A126">
        <f>IF($B126="","","SAK-"&amp;TEXT(ROW()-1,"0000"))</f>
        <v/>
      </c>
      <c r="B126" s="8">
        <f>IF($C126&amp;$H126="","",IF($B126="",NOW(),$B126))</f>
        <v/>
      </c>
      <c r="J126">
        <f>IF($F126="","",IFERROR(VLOOKUP($F126,Oppsett!$E$4:$F$11,2,FALSE),"– ikke tildelt –"))</f>
        <v/>
      </c>
      <c r="L126">
        <f>IF($B126="","",IF($K126&lt;&gt;"",$K126,$J126))</f>
        <v/>
      </c>
      <c r="N126" s="8">
        <f>IF(OR($B126="",$G126=""),"",$B126+VLOOKUP($G126,Oppsett!$H$4:$J$7,2,FALSE)/24)</f>
        <v/>
      </c>
      <c r="O126" s="8">
        <f>IF(OR($B126="",$G126=""),"",$B126+VLOOKUP($G126,Oppsett!$H$4:$J$7,3,FALSE)/24)</f>
        <v/>
      </c>
      <c r="P126" s="8" t="n"/>
      <c r="Q126" s="8" t="n"/>
      <c r="R126">
        <f>IF($B126="","",IF($P126&lt;&gt;"",IF($P126&lt;=$N126,"OK","Påbegynt for sent"),IF(NOW()&gt;$N126,"FORFALT","Innen frist")))</f>
        <v/>
      </c>
      <c r="S126">
        <f>IF($B126="","",IF($Q126&lt;&gt;"",IF($Q126&lt;=$O126,"OK","Løst for sent"),IF(NOW()&gt;$O126,"FORFALT","Innen frist")))</f>
        <v/>
      </c>
      <c r="T126" s="10">
        <f>IF(OR($B126="",$Q126=""),"",ROUND(($Q126-$B126)*24,1))</f>
        <v/>
      </c>
    </row>
    <row r="127">
      <c r="A127">
        <f>IF($B127="","","SAK-"&amp;TEXT(ROW()-1,"0000"))</f>
        <v/>
      </c>
      <c r="B127" s="8">
        <f>IF($C127&amp;$H127="","",IF($B127="",NOW(),$B127))</f>
        <v/>
      </c>
      <c r="J127">
        <f>IF($F127="","",IFERROR(VLOOKUP($F127,Oppsett!$E$4:$F$11,2,FALSE),"– ikke tildelt –"))</f>
        <v/>
      </c>
      <c r="L127">
        <f>IF($B127="","",IF($K127&lt;&gt;"",$K127,$J127))</f>
        <v/>
      </c>
      <c r="N127" s="8">
        <f>IF(OR($B127="",$G127=""),"",$B127+VLOOKUP($G127,Oppsett!$H$4:$J$7,2,FALSE)/24)</f>
        <v/>
      </c>
      <c r="O127" s="8">
        <f>IF(OR($B127="",$G127=""),"",$B127+VLOOKUP($G127,Oppsett!$H$4:$J$7,3,FALSE)/24)</f>
        <v/>
      </c>
      <c r="P127" s="8" t="n"/>
      <c r="Q127" s="8" t="n"/>
      <c r="R127">
        <f>IF($B127="","",IF($P127&lt;&gt;"",IF($P127&lt;=$N127,"OK","Påbegynt for sent"),IF(NOW()&gt;$N127,"FORFALT","Innen frist")))</f>
        <v/>
      </c>
      <c r="S127">
        <f>IF($B127="","",IF($Q127&lt;&gt;"",IF($Q127&lt;=$O127,"OK","Løst for sent"),IF(NOW()&gt;$O127,"FORFALT","Innen frist")))</f>
        <v/>
      </c>
      <c r="T127" s="10">
        <f>IF(OR($B127="",$Q127=""),"",ROUND(($Q127-$B127)*24,1))</f>
        <v/>
      </c>
    </row>
    <row r="128">
      <c r="A128">
        <f>IF($B128="","","SAK-"&amp;TEXT(ROW()-1,"0000"))</f>
        <v/>
      </c>
      <c r="B128" s="8">
        <f>IF($C128&amp;$H128="","",IF($B128="",NOW(),$B128))</f>
        <v/>
      </c>
      <c r="J128">
        <f>IF($F128="","",IFERROR(VLOOKUP($F128,Oppsett!$E$4:$F$11,2,FALSE),"– ikke tildelt –"))</f>
        <v/>
      </c>
      <c r="L128">
        <f>IF($B128="","",IF($K128&lt;&gt;"",$K128,$J128))</f>
        <v/>
      </c>
      <c r="N128" s="8">
        <f>IF(OR($B128="",$G128=""),"",$B128+VLOOKUP($G128,Oppsett!$H$4:$J$7,2,FALSE)/24)</f>
        <v/>
      </c>
      <c r="O128" s="8">
        <f>IF(OR($B128="",$G128=""),"",$B128+VLOOKUP($G128,Oppsett!$H$4:$J$7,3,FALSE)/24)</f>
        <v/>
      </c>
      <c r="P128" s="8" t="n"/>
      <c r="Q128" s="8" t="n"/>
      <c r="R128">
        <f>IF($B128="","",IF($P128&lt;&gt;"",IF($P128&lt;=$N128,"OK","Påbegynt for sent"),IF(NOW()&gt;$N128,"FORFALT","Innen frist")))</f>
        <v/>
      </c>
      <c r="S128">
        <f>IF($B128="","",IF($Q128&lt;&gt;"",IF($Q128&lt;=$O128,"OK","Løst for sent"),IF(NOW()&gt;$O128,"FORFALT","Innen frist")))</f>
        <v/>
      </c>
      <c r="T128" s="10">
        <f>IF(OR($B128="",$Q128=""),"",ROUND(($Q128-$B128)*24,1))</f>
        <v/>
      </c>
    </row>
    <row r="129">
      <c r="A129">
        <f>IF($B129="","","SAK-"&amp;TEXT(ROW()-1,"0000"))</f>
        <v/>
      </c>
      <c r="B129" s="8">
        <f>IF($C129&amp;$H129="","",IF($B129="",NOW(),$B129))</f>
        <v/>
      </c>
      <c r="J129">
        <f>IF($F129="","",IFERROR(VLOOKUP($F129,Oppsett!$E$4:$F$11,2,FALSE),"– ikke tildelt –"))</f>
        <v/>
      </c>
      <c r="L129">
        <f>IF($B129="","",IF($K129&lt;&gt;"",$K129,$J129))</f>
        <v/>
      </c>
      <c r="N129" s="8">
        <f>IF(OR($B129="",$G129=""),"",$B129+VLOOKUP($G129,Oppsett!$H$4:$J$7,2,FALSE)/24)</f>
        <v/>
      </c>
      <c r="O129" s="8">
        <f>IF(OR($B129="",$G129=""),"",$B129+VLOOKUP($G129,Oppsett!$H$4:$J$7,3,FALSE)/24)</f>
        <v/>
      </c>
      <c r="P129" s="8" t="n"/>
      <c r="Q129" s="8" t="n"/>
      <c r="R129">
        <f>IF($B129="","",IF($P129&lt;&gt;"",IF($P129&lt;=$N129,"OK","Påbegynt for sent"),IF(NOW()&gt;$N129,"FORFALT","Innen frist")))</f>
        <v/>
      </c>
      <c r="S129">
        <f>IF($B129="","",IF($Q129&lt;&gt;"",IF($Q129&lt;=$O129,"OK","Løst for sent"),IF(NOW()&gt;$O129,"FORFALT","Innen frist")))</f>
        <v/>
      </c>
      <c r="T129" s="10">
        <f>IF(OR($B129="",$Q129=""),"",ROUND(($Q129-$B129)*24,1))</f>
        <v/>
      </c>
    </row>
    <row r="130">
      <c r="A130">
        <f>IF($B130="","","SAK-"&amp;TEXT(ROW()-1,"0000"))</f>
        <v/>
      </c>
      <c r="B130" s="8">
        <f>IF($C130&amp;$H130="","",IF($B130="",NOW(),$B130))</f>
        <v/>
      </c>
      <c r="J130">
        <f>IF($F130="","",IFERROR(VLOOKUP($F130,Oppsett!$E$4:$F$11,2,FALSE),"– ikke tildelt –"))</f>
        <v/>
      </c>
      <c r="L130">
        <f>IF($B130="","",IF($K130&lt;&gt;"",$K130,$J130))</f>
        <v/>
      </c>
      <c r="N130" s="8">
        <f>IF(OR($B130="",$G130=""),"",$B130+VLOOKUP($G130,Oppsett!$H$4:$J$7,2,FALSE)/24)</f>
        <v/>
      </c>
      <c r="O130" s="8">
        <f>IF(OR($B130="",$G130=""),"",$B130+VLOOKUP($G130,Oppsett!$H$4:$J$7,3,FALSE)/24)</f>
        <v/>
      </c>
      <c r="P130" s="8" t="n"/>
      <c r="Q130" s="8" t="n"/>
      <c r="R130">
        <f>IF($B130="","",IF($P130&lt;&gt;"",IF($P130&lt;=$N130,"OK","Påbegynt for sent"),IF(NOW()&gt;$N130,"FORFALT","Innen frist")))</f>
        <v/>
      </c>
      <c r="S130">
        <f>IF($B130="","",IF($Q130&lt;&gt;"",IF($Q130&lt;=$O130,"OK","Løst for sent"),IF(NOW()&gt;$O130,"FORFALT","Innen frist")))</f>
        <v/>
      </c>
      <c r="T130" s="10">
        <f>IF(OR($B130="",$Q130=""),"",ROUND(($Q130-$B130)*24,1))</f>
        <v/>
      </c>
    </row>
    <row r="131">
      <c r="A131">
        <f>IF($B131="","","SAK-"&amp;TEXT(ROW()-1,"0000"))</f>
        <v/>
      </c>
      <c r="B131" s="8">
        <f>IF($C131&amp;$H131="","",IF($B131="",NOW(),$B131))</f>
        <v/>
      </c>
      <c r="J131">
        <f>IF($F131="","",IFERROR(VLOOKUP($F131,Oppsett!$E$4:$F$11,2,FALSE),"– ikke tildelt –"))</f>
        <v/>
      </c>
      <c r="L131">
        <f>IF($B131="","",IF($K131&lt;&gt;"",$K131,$J131))</f>
        <v/>
      </c>
      <c r="N131" s="8">
        <f>IF(OR($B131="",$G131=""),"",$B131+VLOOKUP($G131,Oppsett!$H$4:$J$7,2,FALSE)/24)</f>
        <v/>
      </c>
      <c r="O131" s="8">
        <f>IF(OR($B131="",$G131=""),"",$B131+VLOOKUP($G131,Oppsett!$H$4:$J$7,3,FALSE)/24)</f>
        <v/>
      </c>
      <c r="P131" s="8" t="n"/>
      <c r="Q131" s="8" t="n"/>
      <c r="R131">
        <f>IF($B131="","",IF($P131&lt;&gt;"",IF($P131&lt;=$N131,"OK","Påbegynt for sent"),IF(NOW()&gt;$N131,"FORFALT","Innen frist")))</f>
        <v/>
      </c>
      <c r="S131">
        <f>IF($B131="","",IF($Q131&lt;&gt;"",IF($Q131&lt;=$O131,"OK","Løst for sent"),IF(NOW()&gt;$O131,"FORFALT","Innen frist")))</f>
        <v/>
      </c>
      <c r="T131" s="10">
        <f>IF(OR($B131="",$Q131=""),"",ROUND(($Q131-$B131)*24,1))</f>
        <v/>
      </c>
    </row>
    <row r="132">
      <c r="A132">
        <f>IF($B132="","","SAK-"&amp;TEXT(ROW()-1,"0000"))</f>
        <v/>
      </c>
      <c r="B132" s="8">
        <f>IF($C132&amp;$H132="","",IF($B132="",NOW(),$B132))</f>
        <v/>
      </c>
      <c r="J132">
        <f>IF($F132="","",IFERROR(VLOOKUP($F132,Oppsett!$E$4:$F$11,2,FALSE),"– ikke tildelt –"))</f>
        <v/>
      </c>
      <c r="L132">
        <f>IF($B132="","",IF($K132&lt;&gt;"",$K132,$J132))</f>
        <v/>
      </c>
      <c r="N132" s="8">
        <f>IF(OR($B132="",$G132=""),"",$B132+VLOOKUP($G132,Oppsett!$H$4:$J$7,2,FALSE)/24)</f>
        <v/>
      </c>
      <c r="O132" s="8">
        <f>IF(OR($B132="",$G132=""),"",$B132+VLOOKUP($G132,Oppsett!$H$4:$J$7,3,FALSE)/24)</f>
        <v/>
      </c>
      <c r="P132" s="8" t="n"/>
      <c r="Q132" s="8" t="n"/>
      <c r="R132">
        <f>IF($B132="","",IF($P132&lt;&gt;"",IF($P132&lt;=$N132,"OK","Påbegynt for sent"),IF(NOW()&gt;$N132,"FORFALT","Innen frist")))</f>
        <v/>
      </c>
      <c r="S132">
        <f>IF($B132="","",IF($Q132&lt;&gt;"",IF($Q132&lt;=$O132,"OK","Løst for sent"),IF(NOW()&gt;$O132,"FORFALT","Innen frist")))</f>
        <v/>
      </c>
      <c r="T132" s="10">
        <f>IF(OR($B132="",$Q132=""),"",ROUND(($Q132-$B132)*24,1))</f>
        <v/>
      </c>
    </row>
    <row r="133">
      <c r="A133">
        <f>IF($B133="","","SAK-"&amp;TEXT(ROW()-1,"0000"))</f>
        <v/>
      </c>
      <c r="B133" s="8">
        <f>IF($C133&amp;$H133="","",IF($B133="",NOW(),$B133))</f>
        <v/>
      </c>
      <c r="J133">
        <f>IF($F133="","",IFERROR(VLOOKUP($F133,Oppsett!$E$4:$F$11,2,FALSE),"– ikke tildelt –"))</f>
        <v/>
      </c>
      <c r="L133">
        <f>IF($B133="","",IF($K133&lt;&gt;"",$K133,$J133))</f>
        <v/>
      </c>
      <c r="N133" s="8">
        <f>IF(OR($B133="",$G133=""),"",$B133+VLOOKUP($G133,Oppsett!$H$4:$J$7,2,FALSE)/24)</f>
        <v/>
      </c>
      <c r="O133" s="8">
        <f>IF(OR($B133="",$G133=""),"",$B133+VLOOKUP($G133,Oppsett!$H$4:$J$7,3,FALSE)/24)</f>
        <v/>
      </c>
      <c r="P133" s="8" t="n"/>
      <c r="Q133" s="8" t="n"/>
      <c r="R133">
        <f>IF($B133="","",IF($P133&lt;&gt;"",IF($P133&lt;=$N133,"OK","Påbegynt for sent"),IF(NOW()&gt;$N133,"FORFALT","Innen frist")))</f>
        <v/>
      </c>
      <c r="S133">
        <f>IF($B133="","",IF($Q133&lt;&gt;"",IF($Q133&lt;=$O133,"OK","Løst for sent"),IF(NOW()&gt;$O133,"FORFALT","Innen frist")))</f>
        <v/>
      </c>
      <c r="T133" s="10">
        <f>IF(OR($B133="",$Q133=""),"",ROUND(($Q133-$B133)*24,1))</f>
        <v/>
      </c>
    </row>
    <row r="134">
      <c r="A134">
        <f>IF($B134="","","SAK-"&amp;TEXT(ROW()-1,"0000"))</f>
        <v/>
      </c>
      <c r="B134" s="8">
        <f>IF($C134&amp;$H134="","",IF($B134="",NOW(),$B134))</f>
        <v/>
      </c>
      <c r="J134">
        <f>IF($F134="","",IFERROR(VLOOKUP($F134,Oppsett!$E$4:$F$11,2,FALSE),"– ikke tildelt –"))</f>
        <v/>
      </c>
      <c r="L134">
        <f>IF($B134="","",IF($K134&lt;&gt;"",$K134,$J134))</f>
        <v/>
      </c>
      <c r="N134" s="8">
        <f>IF(OR($B134="",$G134=""),"",$B134+VLOOKUP($G134,Oppsett!$H$4:$J$7,2,FALSE)/24)</f>
        <v/>
      </c>
      <c r="O134" s="8">
        <f>IF(OR($B134="",$G134=""),"",$B134+VLOOKUP($G134,Oppsett!$H$4:$J$7,3,FALSE)/24)</f>
        <v/>
      </c>
      <c r="P134" s="8" t="n"/>
      <c r="Q134" s="8" t="n"/>
      <c r="R134">
        <f>IF($B134="","",IF($P134&lt;&gt;"",IF($P134&lt;=$N134,"OK","Påbegynt for sent"),IF(NOW()&gt;$N134,"FORFALT","Innen frist")))</f>
        <v/>
      </c>
      <c r="S134">
        <f>IF($B134="","",IF($Q134&lt;&gt;"",IF($Q134&lt;=$O134,"OK","Løst for sent"),IF(NOW()&gt;$O134,"FORFALT","Innen frist")))</f>
        <v/>
      </c>
      <c r="T134" s="10">
        <f>IF(OR($B134="",$Q134=""),"",ROUND(($Q134-$B134)*24,1))</f>
        <v/>
      </c>
    </row>
    <row r="135">
      <c r="A135">
        <f>IF($B135="","","SAK-"&amp;TEXT(ROW()-1,"0000"))</f>
        <v/>
      </c>
      <c r="B135" s="8">
        <f>IF($C135&amp;$H135="","",IF($B135="",NOW(),$B135))</f>
        <v/>
      </c>
      <c r="J135">
        <f>IF($F135="","",IFERROR(VLOOKUP($F135,Oppsett!$E$4:$F$11,2,FALSE),"– ikke tildelt –"))</f>
        <v/>
      </c>
      <c r="L135">
        <f>IF($B135="","",IF($K135&lt;&gt;"",$K135,$J135))</f>
        <v/>
      </c>
      <c r="N135" s="8">
        <f>IF(OR($B135="",$G135=""),"",$B135+VLOOKUP($G135,Oppsett!$H$4:$J$7,2,FALSE)/24)</f>
        <v/>
      </c>
      <c r="O135" s="8">
        <f>IF(OR($B135="",$G135=""),"",$B135+VLOOKUP($G135,Oppsett!$H$4:$J$7,3,FALSE)/24)</f>
        <v/>
      </c>
      <c r="P135" s="8" t="n"/>
      <c r="Q135" s="8" t="n"/>
      <c r="R135">
        <f>IF($B135="","",IF($P135&lt;&gt;"",IF($P135&lt;=$N135,"OK","Påbegynt for sent"),IF(NOW()&gt;$N135,"FORFALT","Innen frist")))</f>
        <v/>
      </c>
      <c r="S135">
        <f>IF($B135="","",IF($Q135&lt;&gt;"",IF($Q135&lt;=$O135,"OK","Løst for sent"),IF(NOW()&gt;$O135,"FORFALT","Innen frist")))</f>
        <v/>
      </c>
      <c r="T135" s="10">
        <f>IF(OR($B135="",$Q135=""),"",ROUND(($Q135-$B135)*24,1))</f>
        <v/>
      </c>
    </row>
    <row r="136">
      <c r="A136">
        <f>IF($B136="","","SAK-"&amp;TEXT(ROW()-1,"0000"))</f>
        <v/>
      </c>
      <c r="B136" s="8">
        <f>IF($C136&amp;$H136="","",IF($B136="",NOW(),$B136))</f>
        <v/>
      </c>
      <c r="J136">
        <f>IF($F136="","",IFERROR(VLOOKUP($F136,Oppsett!$E$4:$F$11,2,FALSE),"– ikke tildelt –"))</f>
        <v/>
      </c>
      <c r="L136">
        <f>IF($B136="","",IF($K136&lt;&gt;"",$K136,$J136))</f>
        <v/>
      </c>
      <c r="N136" s="8">
        <f>IF(OR($B136="",$G136=""),"",$B136+VLOOKUP($G136,Oppsett!$H$4:$J$7,2,FALSE)/24)</f>
        <v/>
      </c>
      <c r="O136" s="8">
        <f>IF(OR($B136="",$G136=""),"",$B136+VLOOKUP($G136,Oppsett!$H$4:$J$7,3,FALSE)/24)</f>
        <v/>
      </c>
      <c r="P136" s="8" t="n"/>
      <c r="Q136" s="8" t="n"/>
      <c r="R136">
        <f>IF($B136="","",IF($P136&lt;&gt;"",IF($P136&lt;=$N136,"OK","Påbegynt for sent"),IF(NOW()&gt;$N136,"FORFALT","Innen frist")))</f>
        <v/>
      </c>
      <c r="S136">
        <f>IF($B136="","",IF($Q136&lt;&gt;"",IF($Q136&lt;=$O136,"OK","Løst for sent"),IF(NOW()&gt;$O136,"FORFALT","Innen frist")))</f>
        <v/>
      </c>
      <c r="T136" s="10">
        <f>IF(OR($B136="",$Q136=""),"",ROUND(($Q136-$B136)*24,1))</f>
        <v/>
      </c>
    </row>
    <row r="137">
      <c r="A137">
        <f>IF($B137="","","SAK-"&amp;TEXT(ROW()-1,"0000"))</f>
        <v/>
      </c>
      <c r="B137" s="8">
        <f>IF($C137&amp;$H137="","",IF($B137="",NOW(),$B137))</f>
        <v/>
      </c>
      <c r="J137">
        <f>IF($F137="","",IFERROR(VLOOKUP($F137,Oppsett!$E$4:$F$11,2,FALSE),"– ikke tildelt –"))</f>
        <v/>
      </c>
      <c r="L137">
        <f>IF($B137="","",IF($K137&lt;&gt;"",$K137,$J137))</f>
        <v/>
      </c>
      <c r="N137" s="8">
        <f>IF(OR($B137="",$G137=""),"",$B137+VLOOKUP($G137,Oppsett!$H$4:$J$7,2,FALSE)/24)</f>
        <v/>
      </c>
      <c r="O137" s="8">
        <f>IF(OR($B137="",$G137=""),"",$B137+VLOOKUP($G137,Oppsett!$H$4:$J$7,3,FALSE)/24)</f>
        <v/>
      </c>
      <c r="P137" s="8" t="n"/>
      <c r="Q137" s="8" t="n"/>
      <c r="R137">
        <f>IF($B137="","",IF($P137&lt;&gt;"",IF($P137&lt;=$N137,"OK","Påbegynt for sent"),IF(NOW()&gt;$N137,"FORFALT","Innen frist")))</f>
        <v/>
      </c>
      <c r="S137">
        <f>IF($B137="","",IF($Q137&lt;&gt;"",IF($Q137&lt;=$O137,"OK","Løst for sent"),IF(NOW()&gt;$O137,"FORFALT","Innen frist")))</f>
        <v/>
      </c>
      <c r="T137" s="10">
        <f>IF(OR($B137="",$Q137=""),"",ROUND(($Q137-$B137)*24,1))</f>
        <v/>
      </c>
    </row>
    <row r="138">
      <c r="A138">
        <f>IF($B138="","","SAK-"&amp;TEXT(ROW()-1,"0000"))</f>
        <v/>
      </c>
      <c r="B138" s="8">
        <f>IF($C138&amp;$H138="","",IF($B138="",NOW(),$B138))</f>
        <v/>
      </c>
      <c r="J138">
        <f>IF($F138="","",IFERROR(VLOOKUP($F138,Oppsett!$E$4:$F$11,2,FALSE),"– ikke tildelt –"))</f>
        <v/>
      </c>
      <c r="L138">
        <f>IF($B138="","",IF($K138&lt;&gt;"",$K138,$J138))</f>
        <v/>
      </c>
      <c r="N138" s="8">
        <f>IF(OR($B138="",$G138=""),"",$B138+VLOOKUP($G138,Oppsett!$H$4:$J$7,2,FALSE)/24)</f>
        <v/>
      </c>
      <c r="O138" s="8">
        <f>IF(OR($B138="",$G138=""),"",$B138+VLOOKUP($G138,Oppsett!$H$4:$J$7,3,FALSE)/24)</f>
        <v/>
      </c>
      <c r="P138" s="8" t="n"/>
      <c r="Q138" s="8" t="n"/>
      <c r="R138">
        <f>IF($B138="","",IF($P138&lt;&gt;"",IF($P138&lt;=$N138,"OK","Påbegynt for sent"),IF(NOW()&gt;$N138,"FORFALT","Innen frist")))</f>
        <v/>
      </c>
      <c r="S138">
        <f>IF($B138="","",IF($Q138&lt;&gt;"",IF($Q138&lt;=$O138,"OK","Løst for sent"),IF(NOW()&gt;$O138,"FORFALT","Innen frist")))</f>
        <v/>
      </c>
      <c r="T138" s="10">
        <f>IF(OR($B138="",$Q138=""),"",ROUND(($Q138-$B138)*24,1))</f>
        <v/>
      </c>
    </row>
    <row r="139">
      <c r="A139">
        <f>IF($B139="","","SAK-"&amp;TEXT(ROW()-1,"0000"))</f>
        <v/>
      </c>
      <c r="B139" s="8">
        <f>IF($C139&amp;$H139="","",IF($B139="",NOW(),$B139))</f>
        <v/>
      </c>
      <c r="J139">
        <f>IF($F139="","",IFERROR(VLOOKUP($F139,Oppsett!$E$4:$F$11,2,FALSE),"– ikke tildelt –"))</f>
        <v/>
      </c>
      <c r="L139">
        <f>IF($B139="","",IF($K139&lt;&gt;"",$K139,$J139))</f>
        <v/>
      </c>
      <c r="N139" s="8">
        <f>IF(OR($B139="",$G139=""),"",$B139+VLOOKUP($G139,Oppsett!$H$4:$J$7,2,FALSE)/24)</f>
        <v/>
      </c>
      <c r="O139" s="8">
        <f>IF(OR($B139="",$G139=""),"",$B139+VLOOKUP($G139,Oppsett!$H$4:$J$7,3,FALSE)/24)</f>
        <v/>
      </c>
      <c r="P139" s="8" t="n"/>
      <c r="Q139" s="8" t="n"/>
      <c r="R139">
        <f>IF($B139="","",IF($P139&lt;&gt;"",IF($P139&lt;=$N139,"OK","Påbegynt for sent"),IF(NOW()&gt;$N139,"FORFALT","Innen frist")))</f>
        <v/>
      </c>
      <c r="S139">
        <f>IF($B139="","",IF($Q139&lt;&gt;"",IF($Q139&lt;=$O139,"OK","Løst for sent"),IF(NOW()&gt;$O139,"FORFALT","Innen frist")))</f>
        <v/>
      </c>
      <c r="T139" s="10">
        <f>IF(OR($B139="",$Q139=""),"",ROUND(($Q139-$B139)*24,1))</f>
        <v/>
      </c>
    </row>
    <row r="140">
      <c r="A140">
        <f>IF($B140="","","SAK-"&amp;TEXT(ROW()-1,"0000"))</f>
        <v/>
      </c>
      <c r="B140" s="8">
        <f>IF($C140&amp;$H140="","",IF($B140="",NOW(),$B140))</f>
        <v/>
      </c>
      <c r="J140">
        <f>IF($F140="","",IFERROR(VLOOKUP($F140,Oppsett!$E$4:$F$11,2,FALSE),"– ikke tildelt –"))</f>
        <v/>
      </c>
      <c r="L140">
        <f>IF($B140="","",IF($K140&lt;&gt;"",$K140,$J140))</f>
        <v/>
      </c>
      <c r="N140" s="8">
        <f>IF(OR($B140="",$G140=""),"",$B140+VLOOKUP($G140,Oppsett!$H$4:$J$7,2,FALSE)/24)</f>
        <v/>
      </c>
      <c r="O140" s="8">
        <f>IF(OR($B140="",$G140=""),"",$B140+VLOOKUP($G140,Oppsett!$H$4:$J$7,3,FALSE)/24)</f>
        <v/>
      </c>
      <c r="P140" s="8" t="n"/>
      <c r="Q140" s="8" t="n"/>
      <c r="R140">
        <f>IF($B140="","",IF($P140&lt;&gt;"",IF($P140&lt;=$N140,"OK","Påbegynt for sent"),IF(NOW()&gt;$N140,"FORFALT","Innen frist")))</f>
        <v/>
      </c>
      <c r="S140">
        <f>IF($B140="","",IF($Q140&lt;&gt;"",IF($Q140&lt;=$O140,"OK","Løst for sent"),IF(NOW()&gt;$O140,"FORFALT","Innen frist")))</f>
        <v/>
      </c>
      <c r="T140" s="10">
        <f>IF(OR($B140="",$Q140=""),"",ROUND(($Q140-$B140)*24,1))</f>
        <v/>
      </c>
    </row>
    <row r="141">
      <c r="A141">
        <f>IF($B141="","","SAK-"&amp;TEXT(ROW()-1,"0000"))</f>
        <v/>
      </c>
      <c r="B141" s="8">
        <f>IF($C141&amp;$H141="","",IF($B141="",NOW(),$B141))</f>
        <v/>
      </c>
      <c r="J141">
        <f>IF($F141="","",IFERROR(VLOOKUP($F141,Oppsett!$E$4:$F$11,2,FALSE),"– ikke tildelt –"))</f>
        <v/>
      </c>
      <c r="L141">
        <f>IF($B141="","",IF($K141&lt;&gt;"",$K141,$J141))</f>
        <v/>
      </c>
      <c r="N141" s="8">
        <f>IF(OR($B141="",$G141=""),"",$B141+VLOOKUP($G141,Oppsett!$H$4:$J$7,2,FALSE)/24)</f>
        <v/>
      </c>
      <c r="O141" s="8">
        <f>IF(OR($B141="",$G141=""),"",$B141+VLOOKUP($G141,Oppsett!$H$4:$J$7,3,FALSE)/24)</f>
        <v/>
      </c>
      <c r="P141" s="8" t="n"/>
      <c r="Q141" s="8" t="n"/>
      <c r="R141">
        <f>IF($B141="","",IF($P141&lt;&gt;"",IF($P141&lt;=$N141,"OK","Påbegynt for sent"),IF(NOW()&gt;$N141,"FORFALT","Innen frist")))</f>
        <v/>
      </c>
      <c r="S141">
        <f>IF($B141="","",IF($Q141&lt;&gt;"",IF($Q141&lt;=$O141,"OK","Løst for sent"),IF(NOW()&gt;$O141,"FORFALT","Innen frist")))</f>
        <v/>
      </c>
      <c r="T141" s="10">
        <f>IF(OR($B141="",$Q141=""),"",ROUND(($Q141-$B141)*24,1))</f>
        <v/>
      </c>
    </row>
    <row r="142">
      <c r="A142">
        <f>IF($B142="","","SAK-"&amp;TEXT(ROW()-1,"0000"))</f>
        <v/>
      </c>
      <c r="B142" s="8">
        <f>IF($C142&amp;$H142="","",IF($B142="",NOW(),$B142))</f>
        <v/>
      </c>
      <c r="J142">
        <f>IF($F142="","",IFERROR(VLOOKUP($F142,Oppsett!$E$4:$F$11,2,FALSE),"– ikke tildelt –"))</f>
        <v/>
      </c>
      <c r="L142">
        <f>IF($B142="","",IF($K142&lt;&gt;"",$K142,$J142))</f>
        <v/>
      </c>
      <c r="N142" s="8">
        <f>IF(OR($B142="",$G142=""),"",$B142+VLOOKUP($G142,Oppsett!$H$4:$J$7,2,FALSE)/24)</f>
        <v/>
      </c>
      <c r="O142" s="8">
        <f>IF(OR($B142="",$G142=""),"",$B142+VLOOKUP($G142,Oppsett!$H$4:$J$7,3,FALSE)/24)</f>
        <v/>
      </c>
      <c r="P142" s="8" t="n"/>
      <c r="Q142" s="8" t="n"/>
      <c r="R142">
        <f>IF($B142="","",IF($P142&lt;&gt;"",IF($P142&lt;=$N142,"OK","Påbegynt for sent"),IF(NOW()&gt;$N142,"FORFALT","Innen frist")))</f>
        <v/>
      </c>
      <c r="S142">
        <f>IF($B142="","",IF($Q142&lt;&gt;"",IF($Q142&lt;=$O142,"OK","Løst for sent"),IF(NOW()&gt;$O142,"FORFALT","Innen frist")))</f>
        <v/>
      </c>
      <c r="T142" s="10">
        <f>IF(OR($B142="",$Q142=""),"",ROUND(($Q142-$B142)*24,1))</f>
        <v/>
      </c>
    </row>
    <row r="143">
      <c r="A143">
        <f>IF($B143="","","SAK-"&amp;TEXT(ROW()-1,"0000"))</f>
        <v/>
      </c>
      <c r="B143" s="8">
        <f>IF($C143&amp;$H143="","",IF($B143="",NOW(),$B143))</f>
        <v/>
      </c>
      <c r="J143">
        <f>IF($F143="","",IFERROR(VLOOKUP($F143,Oppsett!$E$4:$F$11,2,FALSE),"– ikke tildelt –"))</f>
        <v/>
      </c>
      <c r="L143">
        <f>IF($B143="","",IF($K143&lt;&gt;"",$K143,$J143))</f>
        <v/>
      </c>
      <c r="N143" s="8">
        <f>IF(OR($B143="",$G143=""),"",$B143+VLOOKUP($G143,Oppsett!$H$4:$J$7,2,FALSE)/24)</f>
        <v/>
      </c>
      <c r="O143" s="8">
        <f>IF(OR($B143="",$G143=""),"",$B143+VLOOKUP($G143,Oppsett!$H$4:$J$7,3,FALSE)/24)</f>
        <v/>
      </c>
      <c r="P143" s="8" t="n"/>
      <c r="Q143" s="8" t="n"/>
      <c r="R143">
        <f>IF($B143="","",IF($P143&lt;&gt;"",IF($P143&lt;=$N143,"OK","Påbegynt for sent"),IF(NOW()&gt;$N143,"FORFALT","Innen frist")))</f>
        <v/>
      </c>
      <c r="S143">
        <f>IF($B143="","",IF($Q143&lt;&gt;"",IF($Q143&lt;=$O143,"OK","Løst for sent"),IF(NOW()&gt;$O143,"FORFALT","Innen frist")))</f>
        <v/>
      </c>
      <c r="T143" s="10">
        <f>IF(OR($B143="",$Q143=""),"",ROUND(($Q143-$B143)*24,1))</f>
        <v/>
      </c>
    </row>
    <row r="144">
      <c r="A144">
        <f>IF($B144="","","SAK-"&amp;TEXT(ROW()-1,"0000"))</f>
        <v/>
      </c>
      <c r="B144" s="8">
        <f>IF($C144&amp;$H144="","",IF($B144="",NOW(),$B144))</f>
        <v/>
      </c>
      <c r="J144">
        <f>IF($F144="","",IFERROR(VLOOKUP($F144,Oppsett!$E$4:$F$11,2,FALSE),"– ikke tildelt –"))</f>
        <v/>
      </c>
      <c r="L144">
        <f>IF($B144="","",IF($K144&lt;&gt;"",$K144,$J144))</f>
        <v/>
      </c>
      <c r="N144" s="8">
        <f>IF(OR($B144="",$G144=""),"",$B144+VLOOKUP($G144,Oppsett!$H$4:$J$7,2,FALSE)/24)</f>
        <v/>
      </c>
      <c r="O144" s="8">
        <f>IF(OR($B144="",$G144=""),"",$B144+VLOOKUP($G144,Oppsett!$H$4:$J$7,3,FALSE)/24)</f>
        <v/>
      </c>
      <c r="P144" s="8" t="n"/>
      <c r="Q144" s="8" t="n"/>
      <c r="R144">
        <f>IF($B144="","",IF($P144&lt;&gt;"",IF($P144&lt;=$N144,"OK","Påbegynt for sent"),IF(NOW()&gt;$N144,"FORFALT","Innen frist")))</f>
        <v/>
      </c>
      <c r="S144">
        <f>IF($B144="","",IF($Q144&lt;&gt;"",IF($Q144&lt;=$O144,"OK","Løst for sent"),IF(NOW()&gt;$O144,"FORFALT","Innen frist")))</f>
        <v/>
      </c>
      <c r="T144" s="10">
        <f>IF(OR($B144="",$Q144=""),"",ROUND(($Q144-$B144)*24,1))</f>
        <v/>
      </c>
    </row>
    <row r="145">
      <c r="A145">
        <f>IF($B145="","","SAK-"&amp;TEXT(ROW()-1,"0000"))</f>
        <v/>
      </c>
      <c r="B145" s="8">
        <f>IF($C145&amp;$H145="","",IF($B145="",NOW(),$B145))</f>
        <v/>
      </c>
      <c r="J145">
        <f>IF($F145="","",IFERROR(VLOOKUP($F145,Oppsett!$E$4:$F$11,2,FALSE),"– ikke tildelt –"))</f>
        <v/>
      </c>
      <c r="L145">
        <f>IF($B145="","",IF($K145&lt;&gt;"",$K145,$J145))</f>
        <v/>
      </c>
      <c r="N145" s="8">
        <f>IF(OR($B145="",$G145=""),"",$B145+VLOOKUP($G145,Oppsett!$H$4:$J$7,2,FALSE)/24)</f>
        <v/>
      </c>
      <c r="O145" s="8">
        <f>IF(OR($B145="",$G145=""),"",$B145+VLOOKUP($G145,Oppsett!$H$4:$J$7,3,FALSE)/24)</f>
        <v/>
      </c>
      <c r="P145" s="8" t="n"/>
      <c r="Q145" s="8" t="n"/>
      <c r="R145">
        <f>IF($B145="","",IF($P145&lt;&gt;"",IF($P145&lt;=$N145,"OK","Påbegynt for sent"),IF(NOW()&gt;$N145,"FORFALT","Innen frist")))</f>
        <v/>
      </c>
      <c r="S145">
        <f>IF($B145="","",IF($Q145&lt;&gt;"",IF($Q145&lt;=$O145,"OK","Løst for sent"),IF(NOW()&gt;$O145,"FORFALT","Innen frist")))</f>
        <v/>
      </c>
      <c r="T145" s="10">
        <f>IF(OR($B145="",$Q145=""),"",ROUND(($Q145-$B145)*24,1))</f>
        <v/>
      </c>
    </row>
    <row r="146">
      <c r="A146">
        <f>IF($B146="","","SAK-"&amp;TEXT(ROW()-1,"0000"))</f>
        <v/>
      </c>
      <c r="B146" s="8">
        <f>IF($C146&amp;$H146="","",IF($B146="",NOW(),$B146))</f>
        <v/>
      </c>
      <c r="J146">
        <f>IF($F146="","",IFERROR(VLOOKUP($F146,Oppsett!$E$4:$F$11,2,FALSE),"– ikke tildelt –"))</f>
        <v/>
      </c>
      <c r="L146">
        <f>IF($B146="","",IF($K146&lt;&gt;"",$K146,$J146))</f>
        <v/>
      </c>
      <c r="N146" s="8">
        <f>IF(OR($B146="",$G146=""),"",$B146+VLOOKUP($G146,Oppsett!$H$4:$J$7,2,FALSE)/24)</f>
        <v/>
      </c>
      <c r="O146" s="8">
        <f>IF(OR($B146="",$G146=""),"",$B146+VLOOKUP($G146,Oppsett!$H$4:$J$7,3,FALSE)/24)</f>
        <v/>
      </c>
      <c r="P146" s="8" t="n"/>
      <c r="Q146" s="8" t="n"/>
      <c r="R146">
        <f>IF($B146="","",IF($P146&lt;&gt;"",IF($P146&lt;=$N146,"OK","Påbegynt for sent"),IF(NOW()&gt;$N146,"FORFALT","Innen frist")))</f>
        <v/>
      </c>
      <c r="S146">
        <f>IF($B146="","",IF($Q146&lt;&gt;"",IF($Q146&lt;=$O146,"OK","Løst for sent"),IF(NOW()&gt;$O146,"FORFALT","Innen frist")))</f>
        <v/>
      </c>
      <c r="T146" s="10">
        <f>IF(OR($B146="",$Q146=""),"",ROUND(($Q146-$B146)*24,1))</f>
        <v/>
      </c>
    </row>
    <row r="147">
      <c r="A147">
        <f>IF($B147="","","SAK-"&amp;TEXT(ROW()-1,"0000"))</f>
        <v/>
      </c>
      <c r="B147" s="8">
        <f>IF($C147&amp;$H147="","",IF($B147="",NOW(),$B147))</f>
        <v/>
      </c>
      <c r="J147">
        <f>IF($F147="","",IFERROR(VLOOKUP($F147,Oppsett!$E$4:$F$11,2,FALSE),"– ikke tildelt –"))</f>
        <v/>
      </c>
      <c r="L147">
        <f>IF($B147="","",IF($K147&lt;&gt;"",$K147,$J147))</f>
        <v/>
      </c>
      <c r="N147" s="8">
        <f>IF(OR($B147="",$G147=""),"",$B147+VLOOKUP($G147,Oppsett!$H$4:$J$7,2,FALSE)/24)</f>
        <v/>
      </c>
      <c r="O147" s="8">
        <f>IF(OR($B147="",$G147=""),"",$B147+VLOOKUP($G147,Oppsett!$H$4:$J$7,3,FALSE)/24)</f>
        <v/>
      </c>
      <c r="P147" s="8" t="n"/>
      <c r="Q147" s="8" t="n"/>
      <c r="R147">
        <f>IF($B147="","",IF($P147&lt;&gt;"",IF($P147&lt;=$N147,"OK","Påbegynt for sent"),IF(NOW()&gt;$N147,"FORFALT","Innen frist")))</f>
        <v/>
      </c>
      <c r="S147">
        <f>IF($B147="","",IF($Q147&lt;&gt;"",IF($Q147&lt;=$O147,"OK","Løst for sent"),IF(NOW()&gt;$O147,"FORFALT","Innen frist")))</f>
        <v/>
      </c>
      <c r="T147" s="10">
        <f>IF(OR($B147="",$Q147=""),"",ROUND(($Q147-$B147)*24,1))</f>
        <v/>
      </c>
    </row>
    <row r="148">
      <c r="A148">
        <f>IF($B148="","","SAK-"&amp;TEXT(ROW()-1,"0000"))</f>
        <v/>
      </c>
      <c r="B148" s="8">
        <f>IF($C148&amp;$H148="","",IF($B148="",NOW(),$B148))</f>
        <v/>
      </c>
      <c r="J148">
        <f>IF($F148="","",IFERROR(VLOOKUP($F148,Oppsett!$E$4:$F$11,2,FALSE),"– ikke tildelt –"))</f>
        <v/>
      </c>
      <c r="L148">
        <f>IF($B148="","",IF($K148&lt;&gt;"",$K148,$J148))</f>
        <v/>
      </c>
      <c r="N148" s="8">
        <f>IF(OR($B148="",$G148=""),"",$B148+VLOOKUP($G148,Oppsett!$H$4:$J$7,2,FALSE)/24)</f>
        <v/>
      </c>
      <c r="O148" s="8">
        <f>IF(OR($B148="",$G148=""),"",$B148+VLOOKUP($G148,Oppsett!$H$4:$J$7,3,FALSE)/24)</f>
        <v/>
      </c>
      <c r="P148" s="8" t="n"/>
      <c r="Q148" s="8" t="n"/>
      <c r="R148">
        <f>IF($B148="","",IF($P148&lt;&gt;"",IF($P148&lt;=$N148,"OK","Påbegynt for sent"),IF(NOW()&gt;$N148,"FORFALT","Innen frist")))</f>
        <v/>
      </c>
      <c r="S148">
        <f>IF($B148="","",IF($Q148&lt;&gt;"",IF($Q148&lt;=$O148,"OK","Løst for sent"),IF(NOW()&gt;$O148,"FORFALT","Innen frist")))</f>
        <v/>
      </c>
      <c r="T148" s="10">
        <f>IF(OR($B148="",$Q148=""),"",ROUND(($Q148-$B148)*24,1))</f>
        <v/>
      </c>
    </row>
    <row r="149">
      <c r="A149">
        <f>IF($B149="","","SAK-"&amp;TEXT(ROW()-1,"0000"))</f>
        <v/>
      </c>
      <c r="B149" s="8">
        <f>IF($C149&amp;$H149="","",IF($B149="",NOW(),$B149))</f>
        <v/>
      </c>
      <c r="J149">
        <f>IF($F149="","",IFERROR(VLOOKUP($F149,Oppsett!$E$4:$F$11,2,FALSE),"– ikke tildelt –"))</f>
        <v/>
      </c>
      <c r="L149">
        <f>IF($B149="","",IF($K149&lt;&gt;"",$K149,$J149))</f>
        <v/>
      </c>
      <c r="N149" s="8">
        <f>IF(OR($B149="",$G149=""),"",$B149+VLOOKUP($G149,Oppsett!$H$4:$J$7,2,FALSE)/24)</f>
        <v/>
      </c>
      <c r="O149" s="8">
        <f>IF(OR($B149="",$G149=""),"",$B149+VLOOKUP($G149,Oppsett!$H$4:$J$7,3,FALSE)/24)</f>
        <v/>
      </c>
      <c r="P149" s="8" t="n"/>
      <c r="Q149" s="8" t="n"/>
      <c r="R149">
        <f>IF($B149="","",IF($P149&lt;&gt;"",IF($P149&lt;=$N149,"OK","Påbegynt for sent"),IF(NOW()&gt;$N149,"FORFALT","Innen frist")))</f>
        <v/>
      </c>
      <c r="S149">
        <f>IF($B149="","",IF($Q149&lt;&gt;"",IF($Q149&lt;=$O149,"OK","Løst for sent"),IF(NOW()&gt;$O149,"FORFALT","Innen frist")))</f>
        <v/>
      </c>
      <c r="T149" s="10">
        <f>IF(OR($B149="",$Q149=""),"",ROUND(($Q149-$B149)*24,1))</f>
        <v/>
      </c>
    </row>
    <row r="150">
      <c r="A150">
        <f>IF($B150="","","SAK-"&amp;TEXT(ROW()-1,"0000"))</f>
        <v/>
      </c>
      <c r="B150" s="8">
        <f>IF($C150&amp;$H150="","",IF($B150="",NOW(),$B150))</f>
        <v/>
      </c>
      <c r="J150">
        <f>IF($F150="","",IFERROR(VLOOKUP($F150,Oppsett!$E$4:$F$11,2,FALSE),"– ikke tildelt –"))</f>
        <v/>
      </c>
      <c r="L150">
        <f>IF($B150="","",IF($K150&lt;&gt;"",$K150,$J150))</f>
        <v/>
      </c>
      <c r="N150" s="8">
        <f>IF(OR($B150="",$G150=""),"",$B150+VLOOKUP($G150,Oppsett!$H$4:$J$7,2,FALSE)/24)</f>
        <v/>
      </c>
      <c r="O150" s="8">
        <f>IF(OR($B150="",$G150=""),"",$B150+VLOOKUP($G150,Oppsett!$H$4:$J$7,3,FALSE)/24)</f>
        <v/>
      </c>
      <c r="P150" s="8" t="n"/>
      <c r="Q150" s="8" t="n"/>
      <c r="R150">
        <f>IF($B150="","",IF($P150&lt;&gt;"",IF($P150&lt;=$N150,"OK","Påbegynt for sent"),IF(NOW()&gt;$N150,"FORFALT","Innen frist")))</f>
        <v/>
      </c>
      <c r="S150">
        <f>IF($B150="","",IF($Q150&lt;&gt;"",IF($Q150&lt;=$O150,"OK","Løst for sent"),IF(NOW()&gt;$O150,"FORFALT","Innen frist")))</f>
        <v/>
      </c>
      <c r="T150" s="10">
        <f>IF(OR($B150="",$Q150=""),"",ROUND(($Q150-$B150)*24,1))</f>
        <v/>
      </c>
    </row>
    <row r="151">
      <c r="A151">
        <f>IF($B151="","","SAK-"&amp;TEXT(ROW()-1,"0000"))</f>
        <v/>
      </c>
      <c r="B151" s="8">
        <f>IF($C151&amp;$H151="","",IF($B151="",NOW(),$B151))</f>
        <v/>
      </c>
      <c r="J151">
        <f>IF($F151="","",IFERROR(VLOOKUP($F151,Oppsett!$E$4:$F$11,2,FALSE),"– ikke tildelt –"))</f>
        <v/>
      </c>
      <c r="L151">
        <f>IF($B151="","",IF($K151&lt;&gt;"",$K151,$J151))</f>
        <v/>
      </c>
      <c r="N151" s="8">
        <f>IF(OR($B151="",$G151=""),"",$B151+VLOOKUP($G151,Oppsett!$H$4:$J$7,2,FALSE)/24)</f>
        <v/>
      </c>
      <c r="O151" s="8">
        <f>IF(OR($B151="",$G151=""),"",$B151+VLOOKUP($G151,Oppsett!$H$4:$J$7,3,FALSE)/24)</f>
        <v/>
      </c>
      <c r="P151" s="8" t="n"/>
      <c r="Q151" s="8" t="n"/>
      <c r="R151">
        <f>IF($B151="","",IF($P151&lt;&gt;"",IF($P151&lt;=$N151,"OK","Påbegynt for sent"),IF(NOW()&gt;$N151,"FORFALT","Innen frist")))</f>
        <v/>
      </c>
      <c r="S151">
        <f>IF($B151="","",IF($Q151&lt;&gt;"",IF($Q151&lt;=$O151,"OK","Løst for sent"),IF(NOW()&gt;$O151,"FORFALT","Innen frist")))</f>
        <v/>
      </c>
      <c r="T151" s="10">
        <f>IF(OR($B151="",$Q151=""),"",ROUND(($Q151-$B151)*24,1))</f>
        <v/>
      </c>
    </row>
    <row r="152">
      <c r="A152">
        <f>IF($B152="","","SAK-"&amp;TEXT(ROW()-1,"0000"))</f>
        <v/>
      </c>
      <c r="B152" s="8">
        <f>IF($C152&amp;$H152="","",IF($B152="",NOW(),$B152))</f>
        <v/>
      </c>
      <c r="J152">
        <f>IF($F152="","",IFERROR(VLOOKUP($F152,Oppsett!$E$4:$F$11,2,FALSE),"– ikke tildelt –"))</f>
        <v/>
      </c>
      <c r="L152">
        <f>IF($B152="","",IF($K152&lt;&gt;"",$K152,$J152))</f>
        <v/>
      </c>
      <c r="N152" s="8">
        <f>IF(OR($B152="",$G152=""),"",$B152+VLOOKUP($G152,Oppsett!$H$4:$J$7,2,FALSE)/24)</f>
        <v/>
      </c>
      <c r="O152" s="8">
        <f>IF(OR($B152="",$G152=""),"",$B152+VLOOKUP($G152,Oppsett!$H$4:$J$7,3,FALSE)/24)</f>
        <v/>
      </c>
      <c r="P152" s="8" t="n"/>
      <c r="Q152" s="8" t="n"/>
      <c r="R152">
        <f>IF($B152="","",IF($P152&lt;&gt;"",IF($P152&lt;=$N152,"OK","Påbegynt for sent"),IF(NOW()&gt;$N152,"FORFALT","Innen frist")))</f>
        <v/>
      </c>
      <c r="S152">
        <f>IF($B152="","",IF($Q152&lt;&gt;"",IF($Q152&lt;=$O152,"OK","Løst for sent"),IF(NOW()&gt;$O152,"FORFALT","Innen frist")))</f>
        <v/>
      </c>
      <c r="T152" s="10">
        <f>IF(OR($B152="",$Q152=""),"",ROUND(($Q152-$B152)*24,1))</f>
        <v/>
      </c>
    </row>
    <row r="153">
      <c r="A153">
        <f>IF($B153="","","SAK-"&amp;TEXT(ROW()-1,"0000"))</f>
        <v/>
      </c>
      <c r="B153" s="8">
        <f>IF($C153&amp;$H153="","",IF($B153="",NOW(),$B153))</f>
        <v/>
      </c>
      <c r="J153">
        <f>IF($F153="","",IFERROR(VLOOKUP($F153,Oppsett!$E$4:$F$11,2,FALSE),"– ikke tildelt –"))</f>
        <v/>
      </c>
      <c r="L153">
        <f>IF($B153="","",IF($K153&lt;&gt;"",$K153,$J153))</f>
        <v/>
      </c>
      <c r="N153" s="8">
        <f>IF(OR($B153="",$G153=""),"",$B153+VLOOKUP($G153,Oppsett!$H$4:$J$7,2,FALSE)/24)</f>
        <v/>
      </c>
      <c r="O153" s="8">
        <f>IF(OR($B153="",$G153=""),"",$B153+VLOOKUP($G153,Oppsett!$H$4:$J$7,3,FALSE)/24)</f>
        <v/>
      </c>
      <c r="P153" s="8" t="n"/>
      <c r="Q153" s="8" t="n"/>
      <c r="R153">
        <f>IF($B153="","",IF($P153&lt;&gt;"",IF($P153&lt;=$N153,"OK","Påbegynt for sent"),IF(NOW()&gt;$N153,"FORFALT","Innen frist")))</f>
        <v/>
      </c>
      <c r="S153">
        <f>IF($B153="","",IF($Q153&lt;&gt;"",IF($Q153&lt;=$O153,"OK","Løst for sent"),IF(NOW()&gt;$O153,"FORFALT","Innen frist")))</f>
        <v/>
      </c>
      <c r="T153" s="10">
        <f>IF(OR($B153="",$Q153=""),"",ROUND(($Q153-$B153)*24,1))</f>
        <v/>
      </c>
    </row>
    <row r="154">
      <c r="A154">
        <f>IF($B154="","","SAK-"&amp;TEXT(ROW()-1,"0000"))</f>
        <v/>
      </c>
      <c r="B154" s="8">
        <f>IF($C154&amp;$H154="","",IF($B154="",NOW(),$B154))</f>
        <v/>
      </c>
      <c r="J154">
        <f>IF($F154="","",IFERROR(VLOOKUP($F154,Oppsett!$E$4:$F$11,2,FALSE),"– ikke tildelt –"))</f>
        <v/>
      </c>
      <c r="L154">
        <f>IF($B154="","",IF($K154&lt;&gt;"",$K154,$J154))</f>
        <v/>
      </c>
      <c r="N154" s="8">
        <f>IF(OR($B154="",$G154=""),"",$B154+VLOOKUP($G154,Oppsett!$H$4:$J$7,2,FALSE)/24)</f>
        <v/>
      </c>
      <c r="O154" s="8">
        <f>IF(OR($B154="",$G154=""),"",$B154+VLOOKUP($G154,Oppsett!$H$4:$J$7,3,FALSE)/24)</f>
        <v/>
      </c>
      <c r="P154" s="8" t="n"/>
      <c r="Q154" s="8" t="n"/>
      <c r="R154">
        <f>IF($B154="","",IF($P154&lt;&gt;"",IF($P154&lt;=$N154,"OK","Påbegynt for sent"),IF(NOW()&gt;$N154,"FORFALT","Innen frist")))</f>
        <v/>
      </c>
      <c r="S154">
        <f>IF($B154="","",IF($Q154&lt;&gt;"",IF($Q154&lt;=$O154,"OK","Løst for sent"),IF(NOW()&gt;$O154,"FORFALT","Innen frist")))</f>
        <v/>
      </c>
      <c r="T154" s="10">
        <f>IF(OR($B154="",$Q154=""),"",ROUND(($Q154-$B154)*24,1))</f>
        <v/>
      </c>
    </row>
    <row r="155">
      <c r="A155">
        <f>IF($B155="","","SAK-"&amp;TEXT(ROW()-1,"0000"))</f>
        <v/>
      </c>
      <c r="B155" s="8">
        <f>IF($C155&amp;$H155="","",IF($B155="",NOW(),$B155))</f>
        <v/>
      </c>
      <c r="J155">
        <f>IF($F155="","",IFERROR(VLOOKUP($F155,Oppsett!$E$4:$F$11,2,FALSE),"– ikke tildelt –"))</f>
        <v/>
      </c>
      <c r="L155">
        <f>IF($B155="","",IF($K155&lt;&gt;"",$K155,$J155))</f>
        <v/>
      </c>
      <c r="N155" s="8">
        <f>IF(OR($B155="",$G155=""),"",$B155+VLOOKUP($G155,Oppsett!$H$4:$J$7,2,FALSE)/24)</f>
        <v/>
      </c>
      <c r="O155" s="8">
        <f>IF(OR($B155="",$G155=""),"",$B155+VLOOKUP($G155,Oppsett!$H$4:$J$7,3,FALSE)/24)</f>
        <v/>
      </c>
      <c r="P155" s="8" t="n"/>
      <c r="Q155" s="8" t="n"/>
      <c r="R155">
        <f>IF($B155="","",IF($P155&lt;&gt;"",IF($P155&lt;=$N155,"OK","Påbegynt for sent"),IF(NOW()&gt;$N155,"FORFALT","Innen frist")))</f>
        <v/>
      </c>
      <c r="S155">
        <f>IF($B155="","",IF($Q155&lt;&gt;"",IF($Q155&lt;=$O155,"OK","Løst for sent"),IF(NOW()&gt;$O155,"FORFALT","Innen frist")))</f>
        <v/>
      </c>
      <c r="T155" s="10">
        <f>IF(OR($B155="",$Q155=""),"",ROUND(($Q155-$B155)*24,1))</f>
        <v/>
      </c>
    </row>
    <row r="156">
      <c r="A156">
        <f>IF($B156="","","SAK-"&amp;TEXT(ROW()-1,"0000"))</f>
        <v/>
      </c>
      <c r="B156" s="8">
        <f>IF($C156&amp;$H156="","",IF($B156="",NOW(),$B156))</f>
        <v/>
      </c>
      <c r="J156">
        <f>IF($F156="","",IFERROR(VLOOKUP($F156,Oppsett!$E$4:$F$11,2,FALSE),"– ikke tildelt –"))</f>
        <v/>
      </c>
      <c r="L156">
        <f>IF($B156="","",IF($K156&lt;&gt;"",$K156,$J156))</f>
        <v/>
      </c>
      <c r="N156" s="8">
        <f>IF(OR($B156="",$G156=""),"",$B156+VLOOKUP($G156,Oppsett!$H$4:$J$7,2,FALSE)/24)</f>
        <v/>
      </c>
      <c r="O156" s="8">
        <f>IF(OR($B156="",$G156=""),"",$B156+VLOOKUP($G156,Oppsett!$H$4:$J$7,3,FALSE)/24)</f>
        <v/>
      </c>
      <c r="P156" s="8" t="n"/>
      <c r="Q156" s="8" t="n"/>
      <c r="R156">
        <f>IF($B156="","",IF($P156&lt;&gt;"",IF($P156&lt;=$N156,"OK","Påbegynt for sent"),IF(NOW()&gt;$N156,"FORFALT","Innen frist")))</f>
        <v/>
      </c>
      <c r="S156">
        <f>IF($B156="","",IF($Q156&lt;&gt;"",IF($Q156&lt;=$O156,"OK","Løst for sent"),IF(NOW()&gt;$O156,"FORFALT","Innen frist")))</f>
        <v/>
      </c>
      <c r="T156" s="10">
        <f>IF(OR($B156="",$Q156=""),"",ROUND(($Q156-$B156)*24,1))</f>
        <v/>
      </c>
    </row>
    <row r="157">
      <c r="A157">
        <f>IF($B157="","","SAK-"&amp;TEXT(ROW()-1,"0000"))</f>
        <v/>
      </c>
      <c r="B157" s="8">
        <f>IF($C157&amp;$H157="","",IF($B157="",NOW(),$B157))</f>
        <v/>
      </c>
      <c r="J157">
        <f>IF($F157="","",IFERROR(VLOOKUP($F157,Oppsett!$E$4:$F$11,2,FALSE),"– ikke tildelt –"))</f>
        <v/>
      </c>
      <c r="L157">
        <f>IF($B157="","",IF($K157&lt;&gt;"",$K157,$J157))</f>
        <v/>
      </c>
      <c r="N157" s="8">
        <f>IF(OR($B157="",$G157=""),"",$B157+VLOOKUP($G157,Oppsett!$H$4:$J$7,2,FALSE)/24)</f>
        <v/>
      </c>
      <c r="O157" s="8">
        <f>IF(OR($B157="",$G157=""),"",$B157+VLOOKUP($G157,Oppsett!$H$4:$J$7,3,FALSE)/24)</f>
        <v/>
      </c>
      <c r="P157" s="8" t="n"/>
      <c r="Q157" s="8" t="n"/>
      <c r="R157">
        <f>IF($B157="","",IF($P157&lt;&gt;"",IF($P157&lt;=$N157,"OK","Påbegynt for sent"),IF(NOW()&gt;$N157,"FORFALT","Innen frist")))</f>
        <v/>
      </c>
      <c r="S157">
        <f>IF($B157="","",IF($Q157&lt;&gt;"",IF($Q157&lt;=$O157,"OK","Løst for sent"),IF(NOW()&gt;$O157,"FORFALT","Innen frist")))</f>
        <v/>
      </c>
      <c r="T157" s="10">
        <f>IF(OR($B157="",$Q157=""),"",ROUND(($Q157-$B157)*24,1))</f>
        <v/>
      </c>
    </row>
    <row r="158">
      <c r="A158">
        <f>IF($B158="","","SAK-"&amp;TEXT(ROW()-1,"0000"))</f>
        <v/>
      </c>
      <c r="B158" s="8">
        <f>IF($C158&amp;$H158="","",IF($B158="",NOW(),$B158))</f>
        <v/>
      </c>
      <c r="J158">
        <f>IF($F158="","",IFERROR(VLOOKUP($F158,Oppsett!$E$4:$F$11,2,FALSE),"– ikke tildelt –"))</f>
        <v/>
      </c>
      <c r="L158">
        <f>IF($B158="","",IF($K158&lt;&gt;"",$K158,$J158))</f>
        <v/>
      </c>
      <c r="N158" s="8">
        <f>IF(OR($B158="",$G158=""),"",$B158+VLOOKUP($G158,Oppsett!$H$4:$J$7,2,FALSE)/24)</f>
        <v/>
      </c>
      <c r="O158" s="8">
        <f>IF(OR($B158="",$G158=""),"",$B158+VLOOKUP($G158,Oppsett!$H$4:$J$7,3,FALSE)/24)</f>
        <v/>
      </c>
      <c r="P158" s="8" t="n"/>
      <c r="Q158" s="8" t="n"/>
      <c r="R158">
        <f>IF($B158="","",IF($P158&lt;&gt;"",IF($P158&lt;=$N158,"OK","Påbegynt for sent"),IF(NOW()&gt;$N158,"FORFALT","Innen frist")))</f>
        <v/>
      </c>
      <c r="S158">
        <f>IF($B158="","",IF($Q158&lt;&gt;"",IF($Q158&lt;=$O158,"OK","Løst for sent"),IF(NOW()&gt;$O158,"FORFALT","Innen frist")))</f>
        <v/>
      </c>
      <c r="T158" s="10">
        <f>IF(OR($B158="",$Q158=""),"",ROUND(($Q158-$B158)*24,1))</f>
        <v/>
      </c>
    </row>
    <row r="159">
      <c r="A159">
        <f>IF($B159="","","SAK-"&amp;TEXT(ROW()-1,"0000"))</f>
        <v/>
      </c>
      <c r="B159" s="8">
        <f>IF($C159&amp;$H159="","",IF($B159="",NOW(),$B159))</f>
        <v/>
      </c>
      <c r="J159">
        <f>IF($F159="","",IFERROR(VLOOKUP($F159,Oppsett!$E$4:$F$11,2,FALSE),"– ikke tildelt –"))</f>
        <v/>
      </c>
      <c r="L159">
        <f>IF($B159="","",IF($K159&lt;&gt;"",$K159,$J159))</f>
        <v/>
      </c>
      <c r="N159" s="8">
        <f>IF(OR($B159="",$G159=""),"",$B159+VLOOKUP($G159,Oppsett!$H$4:$J$7,2,FALSE)/24)</f>
        <v/>
      </c>
      <c r="O159" s="8">
        <f>IF(OR($B159="",$G159=""),"",$B159+VLOOKUP($G159,Oppsett!$H$4:$J$7,3,FALSE)/24)</f>
        <v/>
      </c>
      <c r="P159" s="8" t="n"/>
      <c r="Q159" s="8" t="n"/>
      <c r="R159">
        <f>IF($B159="","",IF($P159&lt;&gt;"",IF($P159&lt;=$N159,"OK","Påbegynt for sent"),IF(NOW()&gt;$N159,"FORFALT","Innen frist")))</f>
        <v/>
      </c>
      <c r="S159">
        <f>IF($B159="","",IF($Q159&lt;&gt;"",IF($Q159&lt;=$O159,"OK","Løst for sent"),IF(NOW()&gt;$O159,"FORFALT","Innen frist")))</f>
        <v/>
      </c>
      <c r="T159" s="10">
        <f>IF(OR($B159="",$Q159=""),"",ROUND(($Q159-$B159)*24,1))</f>
        <v/>
      </c>
    </row>
    <row r="160">
      <c r="A160">
        <f>IF($B160="","","SAK-"&amp;TEXT(ROW()-1,"0000"))</f>
        <v/>
      </c>
      <c r="B160" s="8">
        <f>IF($C160&amp;$H160="","",IF($B160="",NOW(),$B160))</f>
        <v/>
      </c>
      <c r="J160">
        <f>IF($F160="","",IFERROR(VLOOKUP($F160,Oppsett!$E$4:$F$11,2,FALSE),"– ikke tildelt –"))</f>
        <v/>
      </c>
      <c r="L160">
        <f>IF($B160="","",IF($K160&lt;&gt;"",$K160,$J160))</f>
        <v/>
      </c>
      <c r="N160" s="8">
        <f>IF(OR($B160="",$G160=""),"",$B160+VLOOKUP($G160,Oppsett!$H$4:$J$7,2,FALSE)/24)</f>
        <v/>
      </c>
      <c r="O160" s="8">
        <f>IF(OR($B160="",$G160=""),"",$B160+VLOOKUP($G160,Oppsett!$H$4:$J$7,3,FALSE)/24)</f>
        <v/>
      </c>
      <c r="P160" s="8" t="n"/>
      <c r="Q160" s="8" t="n"/>
      <c r="R160">
        <f>IF($B160="","",IF($P160&lt;&gt;"",IF($P160&lt;=$N160,"OK","Påbegynt for sent"),IF(NOW()&gt;$N160,"FORFALT","Innen frist")))</f>
        <v/>
      </c>
      <c r="S160">
        <f>IF($B160="","",IF($Q160&lt;&gt;"",IF($Q160&lt;=$O160,"OK","Løst for sent"),IF(NOW()&gt;$O160,"FORFALT","Innen frist")))</f>
        <v/>
      </c>
      <c r="T160" s="10">
        <f>IF(OR($B160="",$Q160=""),"",ROUND(($Q160-$B160)*24,1))</f>
        <v/>
      </c>
    </row>
    <row r="161">
      <c r="A161">
        <f>IF($B161="","","SAK-"&amp;TEXT(ROW()-1,"0000"))</f>
        <v/>
      </c>
      <c r="B161" s="8">
        <f>IF($C161&amp;$H161="","",IF($B161="",NOW(),$B161))</f>
        <v/>
      </c>
      <c r="J161">
        <f>IF($F161="","",IFERROR(VLOOKUP($F161,Oppsett!$E$4:$F$11,2,FALSE),"– ikke tildelt –"))</f>
        <v/>
      </c>
      <c r="L161">
        <f>IF($B161="","",IF($K161&lt;&gt;"",$K161,$J161))</f>
        <v/>
      </c>
      <c r="N161" s="8">
        <f>IF(OR($B161="",$G161=""),"",$B161+VLOOKUP($G161,Oppsett!$H$4:$J$7,2,FALSE)/24)</f>
        <v/>
      </c>
      <c r="O161" s="8">
        <f>IF(OR($B161="",$G161=""),"",$B161+VLOOKUP($G161,Oppsett!$H$4:$J$7,3,FALSE)/24)</f>
        <v/>
      </c>
      <c r="P161" s="8" t="n"/>
      <c r="Q161" s="8" t="n"/>
      <c r="R161">
        <f>IF($B161="","",IF($P161&lt;&gt;"",IF($P161&lt;=$N161,"OK","Påbegynt for sent"),IF(NOW()&gt;$N161,"FORFALT","Innen frist")))</f>
        <v/>
      </c>
      <c r="S161">
        <f>IF($B161="","",IF($Q161&lt;&gt;"",IF($Q161&lt;=$O161,"OK","Løst for sent"),IF(NOW()&gt;$O161,"FORFALT","Innen frist")))</f>
        <v/>
      </c>
      <c r="T161" s="10">
        <f>IF(OR($B161="",$Q161=""),"",ROUND(($Q161-$B161)*24,1))</f>
        <v/>
      </c>
    </row>
    <row r="162">
      <c r="A162">
        <f>IF($B162="","","SAK-"&amp;TEXT(ROW()-1,"0000"))</f>
        <v/>
      </c>
      <c r="B162" s="8">
        <f>IF($C162&amp;$H162="","",IF($B162="",NOW(),$B162))</f>
        <v/>
      </c>
      <c r="J162">
        <f>IF($F162="","",IFERROR(VLOOKUP($F162,Oppsett!$E$4:$F$11,2,FALSE),"– ikke tildelt –"))</f>
        <v/>
      </c>
      <c r="L162">
        <f>IF($B162="","",IF($K162&lt;&gt;"",$K162,$J162))</f>
        <v/>
      </c>
      <c r="N162" s="8">
        <f>IF(OR($B162="",$G162=""),"",$B162+VLOOKUP($G162,Oppsett!$H$4:$J$7,2,FALSE)/24)</f>
        <v/>
      </c>
      <c r="O162" s="8">
        <f>IF(OR($B162="",$G162=""),"",$B162+VLOOKUP($G162,Oppsett!$H$4:$J$7,3,FALSE)/24)</f>
        <v/>
      </c>
      <c r="P162" s="8" t="n"/>
      <c r="Q162" s="8" t="n"/>
      <c r="R162">
        <f>IF($B162="","",IF($P162&lt;&gt;"",IF($P162&lt;=$N162,"OK","Påbegynt for sent"),IF(NOW()&gt;$N162,"FORFALT","Innen frist")))</f>
        <v/>
      </c>
      <c r="S162">
        <f>IF($B162="","",IF($Q162&lt;&gt;"",IF($Q162&lt;=$O162,"OK","Løst for sent"),IF(NOW()&gt;$O162,"FORFALT","Innen frist")))</f>
        <v/>
      </c>
      <c r="T162" s="10">
        <f>IF(OR($B162="",$Q162=""),"",ROUND(($Q162-$B162)*24,1))</f>
        <v/>
      </c>
    </row>
    <row r="163">
      <c r="A163">
        <f>IF($B163="","","SAK-"&amp;TEXT(ROW()-1,"0000"))</f>
        <v/>
      </c>
      <c r="B163" s="8">
        <f>IF($C163&amp;$H163="","",IF($B163="",NOW(),$B163))</f>
        <v/>
      </c>
      <c r="J163">
        <f>IF($F163="","",IFERROR(VLOOKUP($F163,Oppsett!$E$4:$F$11,2,FALSE),"– ikke tildelt –"))</f>
        <v/>
      </c>
      <c r="L163">
        <f>IF($B163="","",IF($K163&lt;&gt;"",$K163,$J163))</f>
        <v/>
      </c>
      <c r="N163" s="8">
        <f>IF(OR($B163="",$G163=""),"",$B163+VLOOKUP($G163,Oppsett!$H$4:$J$7,2,FALSE)/24)</f>
        <v/>
      </c>
      <c r="O163" s="8">
        <f>IF(OR($B163="",$G163=""),"",$B163+VLOOKUP($G163,Oppsett!$H$4:$J$7,3,FALSE)/24)</f>
        <v/>
      </c>
      <c r="P163" s="8" t="n"/>
      <c r="Q163" s="8" t="n"/>
      <c r="R163">
        <f>IF($B163="","",IF($P163&lt;&gt;"",IF($P163&lt;=$N163,"OK","Påbegynt for sent"),IF(NOW()&gt;$N163,"FORFALT","Innen frist")))</f>
        <v/>
      </c>
      <c r="S163">
        <f>IF($B163="","",IF($Q163&lt;&gt;"",IF($Q163&lt;=$O163,"OK","Løst for sent"),IF(NOW()&gt;$O163,"FORFALT","Innen frist")))</f>
        <v/>
      </c>
      <c r="T163" s="10">
        <f>IF(OR($B163="",$Q163=""),"",ROUND(($Q163-$B163)*24,1))</f>
        <v/>
      </c>
    </row>
    <row r="164">
      <c r="A164">
        <f>IF($B164="","","SAK-"&amp;TEXT(ROW()-1,"0000"))</f>
        <v/>
      </c>
      <c r="B164" s="8">
        <f>IF($C164&amp;$H164="","",IF($B164="",NOW(),$B164))</f>
        <v/>
      </c>
      <c r="J164">
        <f>IF($F164="","",IFERROR(VLOOKUP($F164,Oppsett!$E$4:$F$11,2,FALSE),"– ikke tildelt –"))</f>
        <v/>
      </c>
      <c r="L164">
        <f>IF($B164="","",IF($K164&lt;&gt;"",$K164,$J164))</f>
        <v/>
      </c>
      <c r="N164" s="8">
        <f>IF(OR($B164="",$G164=""),"",$B164+VLOOKUP($G164,Oppsett!$H$4:$J$7,2,FALSE)/24)</f>
        <v/>
      </c>
      <c r="O164" s="8">
        <f>IF(OR($B164="",$G164=""),"",$B164+VLOOKUP($G164,Oppsett!$H$4:$J$7,3,FALSE)/24)</f>
        <v/>
      </c>
      <c r="P164" s="8" t="n"/>
      <c r="Q164" s="8" t="n"/>
      <c r="R164">
        <f>IF($B164="","",IF($P164&lt;&gt;"",IF($P164&lt;=$N164,"OK","Påbegynt for sent"),IF(NOW()&gt;$N164,"FORFALT","Innen frist")))</f>
        <v/>
      </c>
      <c r="S164">
        <f>IF($B164="","",IF($Q164&lt;&gt;"",IF($Q164&lt;=$O164,"OK","Løst for sent"),IF(NOW()&gt;$O164,"FORFALT","Innen frist")))</f>
        <v/>
      </c>
      <c r="T164" s="10">
        <f>IF(OR($B164="",$Q164=""),"",ROUND(($Q164-$B164)*24,1))</f>
        <v/>
      </c>
    </row>
    <row r="165">
      <c r="A165">
        <f>IF($B165="","","SAK-"&amp;TEXT(ROW()-1,"0000"))</f>
        <v/>
      </c>
      <c r="B165" s="8">
        <f>IF($C165&amp;$H165="","",IF($B165="",NOW(),$B165))</f>
        <v/>
      </c>
      <c r="J165">
        <f>IF($F165="","",IFERROR(VLOOKUP($F165,Oppsett!$E$4:$F$11,2,FALSE),"– ikke tildelt –"))</f>
        <v/>
      </c>
      <c r="L165">
        <f>IF($B165="","",IF($K165&lt;&gt;"",$K165,$J165))</f>
        <v/>
      </c>
      <c r="N165" s="8">
        <f>IF(OR($B165="",$G165=""),"",$B165+VLOOKUP($G165,Oppsett!$H$4:$J$7,2,FALSE)/24)</f>
        <v/>
      </c>
      <c r="O165" s="8">
        <f>IF(OR($B165="",$G165=""),"",$B165+VLOOKUP($G165,Oppsett!$H$4:$J$7,3,FALSE)/24)</f>
        <v/>
      </c>
      <c r="P165" s="8" t="n"/>
      <c r="Q165" s="8" t="n"/>
      <c r="R165">
        <f>IF($B165="","",IF($P165&lt;&gt;"",IF($P165&lt;=$N165,"OK","Påbegynt for sent"),IF(NOW()&gt;$N165,"FORFALT","Innen frist")))</f>
        <v/>
      </c>
      <c r="S165">
        <f>IF($B165="","",IF($Q165&lt;&gt;"",IF($Q165&lt;=$O165,"OK","Løst for sent"),IF(NOW()&gt;$O165,"FORFALT","Innen frist")))</f>
        <v/>
      </c>
      <c r="T165" s="10">
        <f>IF(OR($B165="",$Q165=""),"",ROUND(($Q165-$B165)*24,1))</f>
        <v/>
      </c>
    </row>
    <row r="166">
      <c r="A166">
        <f>IF($B166="","","SAK-"&amp;TEXT(ROW()-1,"0000"))</f>
        <v/>
      </c>
      <c r="B166" s="8">
        <f>IF($C166&amp;$H166="","",IF($B166="",NOW(),$B166))</f>
        <v/>
      </c>
      <c r="J166">
        <f>IF($F166="","",IFERROR(VLOOKUP($F166,Oppsett!$E$4:$F$11,2,FALSE),"– ikke tildelt –"))</f>
        <v/>
      </c>
      <c r="L166">
        <f>IF($B166="","",IF($K166&lt;&gt;"",$K166,$J166))</f>
        <v/>
      </c>
      <c r="N166" s="8">
        <f>IF(OR($B166="",$G166=""),"",$B166+VLOOKUP($G166,Oppsett!$H$4:$J$7,2,FALSE)/24)</f>
        <v/>
      </c>
      <c r="O166" s="8">
        <f>IF(OR($B166="",$G166=""),"",$B166+VLOOKUP($G166,Oppsett!$H$4:$J$7,3,FALSE)/24)</f>
        <v/>
      </c>
      <c r="P166" s="8" t="n"/>
      <c r="Q166" s="8" t="n"/>
      <c r="R166">
        <f>IF($B166="","",IF($P166&lt;&gt;"",IF($P166&lt;=$N166,"OK","Påbegynt for sent"),IF(NOW()&gt;$N166,"FORFALT","Innen frist")))</f>
        <v/>
      </c>
      <c r="S166">
        <f>IF($B166="","",IF($Q166&lt;&gt;"",IF($Q166&lt;=$O166,"OK","Løst for sent"),IF(NOW()&gt;$O166,"FORFALT","Innen frist")))</f>
        <v/>
      </c>
      <c r="T166" s="10">
        <f>IF(OR($B166="",$Q166=""),"",ROUND(($Q166-$B166)*24,1))</f>
        <v/>
      </c>
    </row>
    <row r="167">
      <c r="A167">
        <f>IF($B167="","","SAK-"&amp;TEXT(ROW()-1,"0000"))</f>
        <v/>
      </c>
      <c r="B167" s="8">
        <f>IF($C167&amp;$H167="","",IF($B167="",NOW(),$B167))</f>
        <v/>
      </c>
      <c r="J167">
        <f>IF($F167="","",IFERROR(VLOOKUP($F167,Oppsett!$E$4:$F$11,2,FALSE),"– ikke tildelt –"))</f>
        <v/>
      </c>
      <c r="L167">
        <f>IF($B167="","",IF($K167&lt;&gt;"",$K167,$J167))</f>
        <v/>
      </c>
      <c r="N167" s="8">
        <f>IF(OR($B167="",$G167=""),"",$B167+VLOOKUP($G167,Oppsett!$H$4:$J$7,2,FALSE)/24)</f>
        <v/>
      </c>
      <c r="O167" s="8">
        <f>IF(OR($B167="",$G167=""),"",$B167+VLOOKUP($G167,Oppsett!$H$4:$J$7,3,FALSE)/24)</f>
        <v/>
      </c>
      <c r="P167" s="8" t="n"/>
      <c r="Q167" s="8" t="n"/>
      <c r="R167">
        <f>IF($B167="","",IF($P167&lt;&gt;"",IF($P167&lt;=$N167,"OK","Påbegynt for sent"),IF(NOW()&gt;$N167,"FORFALT","Innen frist")))</f>
        <v/>
      </c>
      <c r="S167">
        <f>IF($B167="","",IF($Q167&lt;&gt;"",IF($Q167&lt;=$O167,"OK","Løst for sent"),IF(NOW()&gt;$O167,"FORFALT","Innen frist")))</f>
        <v/>
      </c>
      <c r="T167" s="10">
        <f>IF(OR($B167="",$Q167=""),"",ROUND(($Q167-$B167)*24,1))</f>
        <v/>
      </c>
    </row>
    <row r="168">
      <c r="A168">
        <f>IF($B168="","","SAK-"&amp;TEXT(ROW()-1,"0000"))</f>
        <v/>
      </c>
      <c r="B168" s="8">
        <f>IF($C168&amp;$H168="","",IF($B168="",NOW(),$B168))</f>
        <v/>
      </c>
      <c r="J168">
        <f>IF($F168="","",IFERROR(VLOOKUP($F168,Oppsett!$E$4:$F$11,2,FALSE),"– ikke tildelt –"))</f>
        <v/>
      </c>
      <c r="L168">
        <f>IF($B168="","",IF($K168&lt;&gt;"",$K168,$J168))</f>
        <v/>
      </c>
      <c r="N168" s="8">
        <f>IF(OR($B168="",$G168=""),"",$B168+VLOOKUP($G168,Oppsett!$H$4:$J$7,2,FALSE)/24)</f>
        <v/>
      </c>
      <c r="O168" s="8">
        <f>IF(OR($B168="",$G168=""),"",$B168+VLOOKUP($G168,Oppsett!$H$4:$J$7,3,FALSE)/24)</f>
        <v/>
      </c>
      <c r="P168" s="8" t="n"/>
      <c r="Q168" s="8" t="n"/>
      <c r="R168">
        <f>IF($B168="","",IF($P168&lt;&gt;"",IF($P168&lt;=$N168,"OK","Påbegynt for sent"),IF(NOW()&gt;$N168,"FORFALT","Innen frist")))</f>
        <v/>
      </c>
      <c r="S168">
        <f>IF($B168="","",IF($Q168&lt;&gt;"",IF($Q168&lt;=$O168,"OK","Løst for sent"),IF(NOW()&gt;$O168,"FORFALT","Innen frist")))</f>
        <v/>
      </c>
      <c r="T168" s="10">
        <f>IF(OR($B168="",$Q168=""),"",ROUND(($Q168-$B168)*24,1))</f>
        <v/>
      </c>
    </row>
    <row r="169">
      <c r="A169">
        <f>IF($B169="","","SAK-"&amp;TEXT(ROW()-1,"0000"))</f>
        <v/>
      </c>
      <c r="B169" s="8">
        <f>IF($C169&amp;$H169="","",IF($B169="",NOW(),$B169))</f>
        <v/>
      </c>
      <c r="J169">
        <f>IF($F169="","",IFERROR(VLOOKUP($F169,Oppsett!$E$4:$F$11,2,FALSE),"– ikke tildelt –"))</f>
        <v/>
      </c>
      <c r="L169">
        <f>IF($B169="","",IF($K169&lt;&gt;"",$K169,$J169))</f>
        <v/>
      </c>
      <c r="N169" s="8">
        <f>IF(OR($B169="",$G169=""),"",$B169+VLOOKUP($G169,Oppsett!$H$4:$J$7,2,FALSE)/24)</f>
        <v/>
      </c>
      <c r="O169" s="8">
        <f>IF(OR($B169="",$G169=""),"",$B169+VLOOKUP($G169,Oppsett!$H$4:$J$7,3,FALSE)/24)</f>
        <v/>
      </c>
      <c r="P169" s="8" t="n"/>
      <c r="Q169" s="8" t="n"/>
      <c r="R169">
        <f>IF($B169="","",IF($P169&lt;&gt;"",IF($P169&lt;=$N169,"OK","Påbegynt for sent"),IF(NOW()&gt;$N169,"FORFALT","Innen frist")))</f>
        <v/>
      </c>
      <c r="S169">
        <f>IF($B169="","",IF($Q169&lt;&gt;"",IF($Q169&lt;=$O169,"OK","Løst for sent"),IF(NOW()&gt;$O169,"FORFALT","Innen frist")))</f>
        <v/>
      </c>
      <c r="T169" s="10">
        <f>IF(OR($B169="",$Q169=""),"",ROUND(($Q169-$B169)*24,1))</f>
        <v/>
      </c>
    </row>
    <row r="170">
      <c r="A170">
        <f>IF($B170="","","SAK-"&amp;TEXT(ROW()-1,"0000"))</f>
        <v/>
      </c>
      <c r="B170" s="8">
        <f>IF($C170&amp;$H170="","",IF($B170="",NOW(),$B170))</f>
        <v/>
      </c>
      <c r="J170">
        <f>IF($F170="","",IFERROR(VLOOKUP($F170,Oppsett!$E$4:$F$11,2,FALSE),"– ikke tildelt –"))</f>
        <v/>
      </c>
      <c r="L170">
        <f>IF($B170="","",IF($K170&lt;&gt;"",$K170,$J170))</f>
        <v/>
      </c>
      <c r="N170" s="8">
        <f>IF(OR($B170="",$G170=""),"",$B170+VLOOKUP($G170,Oppsett!$H$4:$J$7,2,FALSE)/24)</f>
        <v/>
      </c>
      <c r="O170" s="8">
        <f>IF(OR($B170="",$G170=""),"",$B170+VLOOKUP($G170,Oppsett!$H$4:$J$7,3,FALSE)/24)</f>
        <v/>
      </c>
      <c r="P170" s="8" t="n"/>
      <c r="Q170" s="8" t="n"/>
      <c r="R170">
        <f>IF($B170="","",IF($P170&lt;&gt;"",IF($P170&lt;=$N170,"OK","Påbegynt for sent"),IF(NOW()&gt;$N170,"FORFALT","Innen frist")))</f>
        <v/>
      </c>
      <c r="S170">
        <f>IF($B170="","",IF($Q170&lt;&gt;"",IF($Q170&lt;=$O170,"OK","Løst for sent"),IF(NOW()&gt;$O170,"FORFALT","Innen frist")))</f>
        <v/>
      </c>
      <c r="T170" s="10">
        <f>IF(OR($B170="",$Q170=""),"",ROUND(($Q170-$B170)*24,1))</f>
        <v/>
      </c>
    </row>
    <row r="171">
      <c r="A171">
        <f>IF($B171="","","SAK-"&amp;TEXT(ROW()-1,"0000"))</f>
        <v/>
      </c>
      <c r="B171" s="8">
        <f>IF($C171&amp;$H171="","",IF($B171="",NOW(),$B171))</f>
        <v/>
      </c>
      <c r="J171">
        <f>IF($F171="","",IFERROR(VLOOKUP($F171,Oppsett!$E$4:$F$11,2,FALSE),"– ikke tildelt –"))</f>
        <v/>
      </c>
      <c r="L171">
        <f>IF($B171="","",IF($K171&lt;&gt;"",$K171,$J171))</f>
        <v/>
      </c>
      <c r="N171" s="8">
        <f>IF(OR($B171="",$G171=""),"",$B171+VLOOKUP($G171,Oppsett!$H$4:$J$7,2,FALSE)/24)</f>
        <v/>
      </c>
      <c r="O171" s="8">
        <f>IF(OR($B171="",$G171=""),"",$B171+VLOOKUP($G171,Oppsett!$H$4:$J$7,3,FALSE)/24)</f>
        <v/>
      </c>
      <c r="P171" s="8" t="n"/>
      <c r="Q171" s="8" t="n"/>
      <c r="R171">
        <f>IF($B171="","",IF($P171&lt;&gt;"",IF($P171&lt;=$N171,"OK","Påbegynt for sent"),IF(NOW()&gt;$N171,"FORFALT","Innen frist")))</f>
        <v/>
      </c>
      <c r="S171">
        <f>IF($B171="","",IF($Q171&lt;&gt;"",IF($Q171&lt;=$O171,"OK","Løst for sent"),IF(NOW()&gt;$O171,"FORFALT","Innen frist")))</f>
        <v/>
      </c>
      <c r="T171" s="10">
        <f>IF(OR($B171="",$Q171=""),"",ROUND(($Q171-$B171)*24,1))</f>
        <v/>
      </c>
    </row>
    <row r="172">
      <c r="A172">
        <f>IF($B172="","","SAK-"&amp;TEXT(ROW()-1,"0000"))</f>
        <v/>
      </c>
      <c r="B172" s="8">
        <f>IF($C172&amp;$H172="","",IF($B172="",NOW(),$B172))</f>
        <v/>
      </c>
      <c r="J172">
        <f>IF($F172="","",IFERROR(VLOOKUP($F172,Oppsett!$E$4:$F$11,2,FALSE),"– ikke tildelt –"))</f>
        <v/>
      </c>
      <c r="L172">
        <f>IF($B172="","",IF($K172&lt;&gt;"",$K172,$J172))</f>
        <v/>
      </c>
      <c r="N172" s="8">
        <f>IF(OR($B172="",$G172=""),"",$B172+VLOOKUP($G172,Oppsett!$H$4:$J$7,2,FALSE)/24)</f>
        <v/>
      </c>
      <c r="O172" s="8">
        <f>IF(OR($B172="",$G172=""),"",$B172+VLOOKUP($G172,Oppsett!$H$4:$J$7,3,FALSE)/24)</f>
        <v/>
      </c>
      <c r="P172" s="8" t="n"/>
      <c r="Q172" s="8" t="n"/>
      <c r="R172">
        <f>IF($B172="","",IF($P172&lt;&gt;"",IF($P172&lt;=$N172,"OK","Påbegynt for sent"),IF(NOW()&gt;$N172,"FORFALT","Innen frist")))</f>
        <v/>
      </c>
      <c r="S172">
        <f>IF($B172="","",IF($Q172&lt;&gt;"",IF($Q172&lt;=$O172,"OK","Løst for sent"),IF(NOW()&gt;$O172,"FORFALT","Innen frist")))</f>
        <v/>
      </c>
      <c r="T172" s="10">
        <f>IF(OR($B172="",$Q172=""),"",ROUND(($Q172-$B172)*24,1))</f>
        <v/>
      </c>
    </row>
    <row r="173">
      <c r="A173">
        <f>IF($B173="","","SAK-"&amp;TEXT(ROW()-1,"0000"))</f>
        <v/>
      </c>
      <c r="B173" s="8">
        <f>IF($C173&amp;$H173="","",IF($B173="",NOW(),$B173))</f>
        <v/>
      </c>
      <c r="J173">
        <f>IF($F173="","",IFERROR(VLOOKUP($F173,Oppsett!$E$4:$F$11,2,FALSE),"– ikke tildelt –"))</f>
        <v/>
      </c>
      <c r="L173">
        <f>IF($B173="","",IF($K173&lt;&gt;"",$K173,$J173))</f>
        <v/>
      </c>
      <c r="N173" s="8">
        <f>IF(OR($B173="",$G173=""),"",$B173+VLOOKUP($G173,Oppsett!$H$4:$J$7,2,FALSE)/24)</f>
        <v/>
      </c>
      <c r="O173" s="8">
        <f>IF(OR($B173="",$G173=""),"",$B173+VLOOKUP($G173,Oppsett!$H$4:$J$7,3,FALSE)/24)</f>
        <v/>
      </c>
      <c r="P173" s="8" t="n"/>
      <c r="Q173" s="8" t="n"/>
      <c r="R173">
        <f>IF($B173="","",IF($P173&lt;&gt;"",IF($P173&lt;=$N173,"OK","Påbegynt for sent"),IF(NOW()&gt;$N173,"FORFALT","Innen frist")))</f>
        <v/>
      </c>
      <c r="S173">
        <f>IF($B173="","",IF($Q173&lt;&gt;"",IF($Q173&lt;=$O173,"OK","Løst for sent"),IF(NOW()&gt;$O173,"FORFALT","Innen frist")))</f>
        <v/>
      </c>
      <c r="T173" s="10">
        <f>IF(OR($B173="",$Q173=""),"",ROUND(($Q173-$B173)*24,1))</f>
        <v/>
      </c>
    </row>
    <row r="174">
      <c r="A174">
        <f>IF($B174="","","SAK-"&amp;TEXT(ROW()-1,"0000"))</f>
        <v/>
      </c>
      <c r="B174" s="8">
        <f>IF($C174&amp;$H174="","",IF($B174="",NOW(),$B174))</f>
        <v/>
      </c>
      <c r="J174">
        <f>IF($F174="","",IFERROR(VLOOKUP($F174,Oppsett!$E$4:$F$11,2,FALSE),"– ikke tildelt –"))</f>
        <v/>
      </c>
      <c r="L174">
        <f>IF($B174="","",IF($K174&lt;&gt;"",$K174,$J174))</f>
        <v/>
      </c>
      <c r="N174" s="8">
        <f>IF(OR($B174="",$G174=""),"",$B174+VLOOKUP($G174,Oppsett!$H$4:$J$7,2,FALSE)/24)</f>
        <v/>
      </c>
      <c r="O174" s="8">
        <f>IF(OR($B174="",$G174=""),"",$B174+VLOOKUP($G174,Oppsett!$H$4:$J$7,3,FALSE)/24)</f>
        <v/>
      </c>
      <c r="P174" s="8" t="n"/>
      <c r="Q174" s="8" t="n"/>
      <c r="R174">
        <f>IF($B174="","",IF($P174&lt;&gt;"",IF($P174&lt;=$N174,"OK","Påbegynt for sent"),IF(NOW()&gt;$N174,"FORFALT","Innen frist")))</f>
        <v/>
      </c>
      <c r="S174">
        <f>IF($B174="","",IF($Q174&lt;&gt;"",IF($Q174&lt;=$O174,"OK","Løst for sent"),IF(NOW()&gt;$O174,"FORFALT","Innen frist")))</f>
        <v/>
      </c>
      <c r="T174" s="10">
        <f>IF(OR($B174="",$Q174=""),"",ROUND(($Q174-$B174)*24,1))</f>
        <v/>
      </c>
    </row>
    <row r="175">
      <c r="A175">
        <f>IF($B175="","","SAK-"&amp;TEXT(ROW()-1,"0000"))</f>
        <v/>
      </c>
      <c r="B175" s="8">
        <f>IF($C175&amp;$H175="","",IF($B175="",NOW(),$B175))</f>
        <v/>
      </c>
      <c r="J175">
        <f>IF($F175="","",IFERROR(VLOOKUP($F175,Oppsett!$E$4:$F$11,2,FALSE),"– ikke tildelt –"))</f>
        <v/>
      </c>
      <c r="L175">
        <f>IF($B175="","",IF($K175&lt;&gt;"",$K175,$J175))</f>
        <v/>
      </c>
      <c r="N175" s="8">
        <f>IF(OR($B175="",$G175=""),"",$B175+VLOOKUP($G175,Oppsett!$H$4:$J$7,2,FALSE)/24)</f>
        <v/>
      </c>
      <c r="O175" s="8">
        <f>IF(OR($B175="",$G175=""),"",$B175+VLOOKUP($G175,Oppsett!$H$4:$J$7,3,FALSE)/24)</f>
        <v/>
      </c>
      <c r="P175" s="8" t="n"/>
      <c r="Q175" s="8" t="n"/>
      <c r="R175">
        <f>IF($B175="","",IF($P175&lt;&gt;"",IF($P175&lt;=$N175,"OK","Påbegynt for sent"),IF(NOW()&gt;$N175,"FORFALT","Innen frist")))</f>
        <v/>
      </c>
      <c r="S175">
        <f>IF($B175="","",IF($Q175&lt;&gt;"",IF($Q175&lt;=$O175,"OK","Løst for sent"),IF(NOW()&gt;$O175,"FORFALT","Innen frist")))</f>
        <v/>
      </c>
      <c r="T175" s="10">
        <f>IF(OR($B175="",$Q175=""),"",ROUND(($Q175-$B175)*24,1))</f>
        <v/>
      </c>
    </row>
    <row r="176">
      <c r="A176">
        <f>IF($B176="","","SAK-"&amp;TEXT(ROW()-1,"0000"))</f>
        <v/>
      </c>
      <c r="B176" s="8">
        <f>IF($C176&amp;$H176="","",IF($B176="",NOW(),$B176))</f>
        <v/>
      </c>
      <c r="J176">
        <f>IF($F176="","",IFERROR(VLOOKUP($F176,Oppsett!$E$4:$F$11,2,FALSE),"– ikke tildelt –"))</f>
        <v/>
      </c>
      <c r="L176">
        <f>IF($B176="","",IF($K176&lt;&gt;"",$K176,$J176))</f>
        <v/>
      </c>
      <c r="N176" s="8">
        <f>IF(OR($B176="",$G176=""),"",$B176+VLOOKUP($G176,Oppsett!$H$4:$J$7,2,FALSE)/24)</f>
        <v/>
      </c>
      <c r="O176" s="8">
        <f>IF(OR($B176="",$G176=""),"",$B176+VLOOKUP($G176,Oppsett!$H$4:$J$7,3,FALSE)/24)</f>
        <v/>
      </c>
      <c r="P176" s="8" t="n"/>
      <c r="Q176" s="8" t="n"/>
      <c r="R176">
        <f>IF($B176="","",IF($P176&lt;&gt;"",IF($P176&lt;=$N176,"OK","Påbegynt for sent"),IF(NOW()&gt;$N176,"FORFALT","Innen frist")))</f>
        <v/>
      </c>
      <c r="S176">
        <f>IF($B176="","",IF($Q176&lt;&gt;"",IF($Q176&lt;=$O176,"OK","Løst for sent"),IF(NOW()&gt;$O176,"FORFALT","Innen frist")))</f>
        <v/>
      </c>
      <c r="T176" s="10">
        <f>IF(OR($B176="",$Q176=""),"",ROUND(($Q176-$B176)*24,1))</f>
        <v/>
      </c>
    </row>
    <row r="177">
      <c r="A177">
        <f>IF($B177="","","SAK-"&amp;TEXT(ROW()-1,"0000"))</f>
        <v/>
      </c>
      <c r="B177" s="8">
        <f>IF($C177&amp;$H177="","",IF($B177="",NOW(),$B177))</f>
        <v/>
      </c>
      <c r="J177">
        <f>IF($F177="","",IFERROR(VLOOKUP($F177,Oppsett!$E$4:$F$11,2,FALSE),"– ikke tildelt –"))</f>
        <v/>
      </c>
      <c r="L177">
        <f>IF($B177="","",IF($K177&lt;&gt;"",$K177,$J177))</f>
        <v/>
      </c>
      <c r="N177" s="8">
        <f>IF(OR($B177="",$G177=""),"",$B177+VLOOKUP($G177,Oppsett!$H$4:$J$7,2,FALSE)/24)</f>
        <v/>
      </c>
      <c r="O177" s="8">
        <f>IF(OR($B177="",$G177=""),"",$B177+VLOOKUP($G177,Oppsett!$H$4:$J$7,3,FALSE)/24)</f>
        <v/>
      </c>
      <c r="P177" s="8" t="n"/>
      <c r="Q177" s="8" t="n"/>
      <c r="R177">
        <f>IF($B177="","",IF($P177&lt;&gt;"",IF($P177&lt;=$N177,"OK","Påbegynt for sent"),IF(NOW()&gt;$N177,"FORFALT","Innen frist")))</f>
        <v/>
      </c>
      <c r="S177">
        <f>IF($B177="","",IF($Q177&lt;&gt;"",IF($Q177&lt;=$O177,"OK","Løst for sent"),IF(NOW()&gt;$O177,"FORFALT","Innen frist")))</f>
        <v/>
      </c>
      <c r="T177" s="10">
        <f>IF(OR($B177="",$Q177=""),"",ROUND(($Q177-$B177)*24,1))</f>
        <v/>
      </c>
    </row>
    <row r="178">
      <c r="A178">
        <f>IF($B178="","","SAK-"&amp;TEXT(ROW()-1,"0000"))</f>
        <v/>
      </c>
      <c r="B178" s="8">
        <f>IF($C178&amp;$H178="","",IF($B178="",NOW(),$B178))</f>
        <v/>
      </c>
      <c r="J178">
        <f>IF($F178="","",IFERROR(VLOOKUP($F178,Oppsett!$E$4:$F$11,2,FALSE),"– ikke tildelt –"))</f>
        <v/>
      </c>
      <c r="L178">
        <f>IF($B178="","",IF($K178&lt;&gt;"",$K178,$J178))</f>
        <v/>
      </c>
      <c r="N178" s="8">
        <f>IF(OR($B178="",$G178=""),"",$B178+VLOOKUP($G178,Oppsett!$H$4:$J$7,2,FALSE)/24)</f>
        <v/>
      </c>
      <c r="O178" s="8">
        <f>IF(OR($B178="",$G178=""),"",$B178+VLOOKUP($G178,Oppsett!$H$4:$J$7,3,FALSE)/24)</f>
        <v/>
      </c>
      <c r="P178" s="8" t="n"/>
      <c r="Q178" s="8" t="n"/>
      <c r="R178">
        <f>IF($B178="","",IF($P178&lt;&gt;"",IF($P178&lt;=$N178,"OK","Påbegynt for sent"),IF(NOW()&gt;$N178,"FORFALT","Innen frist")))</f>
        <v/>
      </c>
      <c r="S178">
        <f>IF($B178="","",IF($Q178&lt;&gt;"",IF($Q178&lt;=$O178,"OK","Løst for sent"),IF(NOW()&gt;$O178,"FORFALT","Innen frist")))</f>
        <v/>
      </c>
      <c r="T178" s="10">
        <f>IF(OR($B178="",$Q178=""),"",ROUND(($Q178-$B178)*24,1))</f>
        <v/>
      </c>
    </row>
    <row r="179">
      <c r="A179">
        <f>IF($B179="","","SAK-"&amp;TEXT(ROW()-1,"0000"))</f>
        <v/>
      </c>
      <c r="B179" s="8">
        <f>IF($C179&amp;$H179="","",IF($B179="",NOW(),$B179))</f>
        <v/>
      </c>
      <c r="J179">
        <f>IF($F179="","",IFERROR(VLOOKUP($F179,Oppsett!$E$4:$F$11,2,FALSE),"– ikke tildelt –"))</f>
        <v/>
      </c>
      <c r="L179">
        <f>IF($B179="","",IF($K179&lt;&gt;"",$K179,$J179))</f>
        <v/>
      </c>
      <c r="N179" s="8">
        <f>IF(OR($B179="",$G179=""),"",$B179+VLOOKUP($G179,Oppsett!$H$4:$J$7,2,FALSE)/24)</f>
        <v/>
      </c>
      <c r="O179" s="8">
        <f>IF(OR($B179="",$G179=""),"",$B179+VLOOKUP($G179,Oppsett!$H$4:$J$7,3,FALSE)/24)</f>
        <v/>
      </c>
      <c r="P179" s="8" t="n"/>
      <c r="Q179" s="8" t="n"/>
      <c r="R179">
        <f>IF($B179="","",IF($P179&lt;&gt;"",IF($P179&lt;=$N179,"OK","Påbegynt for sent"),IF(NOW()&gt;$N179,"FORFALT","Innen frist")))</f>
        <v/>
      </c>
      <c r="S179">
        <f>IF($B179="","",IF($Q179&lt;&gt;"",IF($Q179&lt;=$O179,"OK","Løst for sent"),IF(NOW()&gt;$O179,"FORFALT","Innen frist")))</f>
        <v/>
      </c>
      <c r="T179" s="10">
        <f>IF(OR($B179="",$Q179=""),"",ROUND(($Q179-$B179)*24,1))</f>
        <v/>
      </c>
    </row>
    <row r="180">
      <c r="A180">
        <f>IF($B180="","","SAK-"&amp;TEXT(ROW()-1,"0000"))</f>
        <v/>
      </c>
      <c r="B180" s="8">
        <f>IF($C180&amp;$H180="","",IF($B180="",NOW(),$B180))</f>
        <v/>
      </c>
      <c r="J180">
        <f>IF($F180="","",IFERROR(VLOOKUP($F180,Oppsett!$E$4:$F$11,2,FALSE),"– ikke tildelt –"))</f>
        <v/>
      </c>
      <c r="L180">
        <f>IF($B180="","",IF($K180&lt;&gt;"",$K180,$J180))</f>
        <v/>
      </c>
      <c r="N180" s="8">
        <f>IF(OR($B180="",$G180=""),"",$B180+VLOOKUP($G180,Oppsett!$H$4:$J$7,2,FALSE)/24)</f>
        <v/>
      </c>
      <c r="O180" s="8">
        <f>IF(OR($B180="",$G180=""),"",$B180+VLOOKUP($G180,Oppsett!$H$4:$J$7,3,FALSE)/24)</f>
        <v/>
      </c>
      <c r="P180" s="8" t="n"/>
      <c r="Q180" s="8" t="n"/>
      <c r="R180">
        <f>IF($B180="","",IF($P180&lt;&gt;"",IF($P180&lt;=$N180,"OK","Påbegynt for sent"),IF(NOW()&gt;$N180,"FORFALT","Innen frist")))</f>
        <v/>
      </c>
      <c r="S180">
        <f>IF($B180="","",IF($Q180&lt;&gt;"",IF($Q180&lt;=$O180,"OK","Løst for sent"),IF(NOW()&gt;$O180,"FORFALT","Innen frist")))</f>
        <v/>
      </c>
      <c r="T180" s="10">
        <f>IF(OR($B180="",$Q180=""),"",ROUND(($Q180-$B180)*24,1))</f>
        <v/>
      </c>
    </row>
    <row r="181">
      <c r="A181">
        <f>IF($B181="","","SAK-"&amp;TEXT(ROW()-1,"0000"))</f>
        <v/>
      </c>
      <c r="B181" s="8">
        <f>IF($C181&amp;$H181="","",IF($B181="",NOW(),$B181))</f>
        <v/>
      </c>
      <c r="J181">
        <f>IF($F181="","",IFERROR(VLOOKUP($F181,Oppsett!$E$4:$F$11,2,FALSE),"– ikke tildelt –"))</f>
        <v/>
      </c>
      <c r="L181">
        <f>IF($B181="","",IF($K181&lt;&gt;"",$K181,$J181))</f>
        <v/>
      </c>
      <c r="N181" s="8">
        <f>IF(OR($B181="",$G181=""),"",$B181+VLOOKUP($G181,Oppsett!$H$4:$J$7,2,FALSE)/24)</f>
        <v/>
      </c>
      <c r="O181" s="8">
        <f>IF(OR($B181="",$G181=""),"",$B181+VLOOKUP($G181,Oppsett!$H$4:$J$7,3,FALSE)/24)</f>
        <v/>
      </c>
      <c r="P181" s="8" t="n"/>
      <c r="Q181" s="8" t="n"/>
      <c r="R181">
        <f>IF($B181="","",IF($P181&lt;&gt;"",IF($P181&lt;=$N181,"OK","Påbegynt for sent"),IF(NOW()&gt;$N181,"FORFALT","Innen frist")))</f>
        <v/>
      </c>
      <c r="S181">
        <f>IF($B181="","",IF($Q181&lt;&gt;"",IF($Q181&lt;=$O181,"OK","Løst for sent"),IF(NOW()&gt;$O181,"FORFALT","Innen frist")))</f>
        <v/>
      </c>
      <c r="T181" s="10">
        <f>IF(OR($B181="",$Q181=""),"",ROUND(($Q181-$B181)*24,1))</f>
        <v/>
      </c>
    </row>
    <row r="182">
      <c r="A182">
        <f>IF($B182="","","SAK-"&amp;TEXT(ROW()-1,"0000"))</f>
        <v/>
      </c>
      <c r="B182" s="8">
        <f>IF($C182&amp;$H182="","",IF($B182="",NOW(),$B182))</f>
        <v/>
      </c>
      <c r="J182">
        <f>IF($F182="","",IFERROR(VLOOKUP($F182,Oppsett!$E$4:$F$11,2,FALSE),"– ikke tildelt –"))</f>
        <v/>
      </c>
      <c r="L182">
        <f>IF($B182="","",IF($K182&lt;&gt;"",$K182,$J182))</f>
        <v/>
      </c>
      <c r="N182" s="8">
        <f>IF(OR($B182="",$G182=""),"",$B182+VLOOKUP($G182,Oppsett!$H$4:$J$7,2,FALSE)/24)</f>
        <v/>
      </c>
      <c r="O182" s="8">
        <f>IF(OR($B182="",$G182=""),"",$B182+VLOOKUP($G182,Oppsett!$H$4:$J$7,3,FALSE)/24)</f>
        <v/>
      </c>
      <c r="P182" s="8" t="n"/>
      <c r="Q182" s="8" t="n"/>
      <c r="R182">
        <f>IF($B182="","",IF($P182&lt;&gt;"",IF($P182&lt;=$N182,"OK","Påbegynt for sent"),IF(NOW()&gt;$N182,"FORFALT","Innen frist")))</f>
        <v/>
      </c>
      <c r="S182">
        <f>IF($B182="","",IF($Q182&lt;&gt;"",IF($Q182&lt;=$O182,"OK","Løst for sent"),IF(NOW()&gt;$O182,"FORFALT","Innen frist")))</f>
        <v/>
      </c>
      <c r="T182" s="10">
        <f>IF(OR($B182="",$Q182=""),"",ROUND(($Q182-$B182)*24,1))</f>
        <v/>
      </c>
    </row>
    <row r="183">
      <c r="A183">
        <f>IF($B183="","","SAK-"&amp;TEXT(ROW()-1,"0000"))</f>
        <v/>
      </c>
      <c r="B183" s="8">
        <f>IF($C183&amp;$H183="","",IF($B183="",NOW(),$B183))</f>
        <v/>
      </c>
      <c r="J183">
        <f>IF($F183="","",IFERROR(VLOOKUP($F183,Oppsett!$E$4:$F$11,2,FALSE),"– ikke tildelt –"))</f>
        <v/>
      </c>
      <c r="L183">
        <f>IF($B183="","",IF($K183&lt;&gt;"",$K183,$J183))</f>
        <v/>
      </c>
      <c r="N183" s="8">
        <f>IF(OR($B183="",$G183=""),"",$B183+VLOOKUP($G183,Oppsett!$H$4:$J$7,2,FALSE)/24)</f>
        <v/>
      </c>
      <c r="O183" s="8">
        <f>IF(OR($B183="",$G183=""),"",$B183+VLOOKUP($G183,Oppsett!$H$4:$J$7,3,FALSE)/24)</f>
        <v/>
      </c>
      <c r="P183" s="8" t="n"/>
      <c r="Q183" s="8" t="n"/>
      <c r="R183">
        <f>IF($B183="","",IF($P183&lt;&gt;"",IF($P183&lt;=$N183,"OK","Påbegynt for sent"),IF(NOW()&gt;$N183,"FORFALT","Innen frist")))</f>
        <v/>
      </c>
      <c r="S183">
        <f>IF($B183="","",IF($Q183&lt;&gt;"",IF($Q183&lt;=$O183,"OK","Løst for sent"),IF(NOW()&gt;$O183,"FORFALT","Innen frist")))</f>
        <v/>
      </c>
      <c r="T183" s="10">
        <f>IF(OR($B183="",$Q183=""),"",ROUND(($Q183-$B183)*24,1))</f>
        <v/>
      </c>
    </row>
    <row r="184">
      <c r="A184">
        <f>IF($B184="","","SAK-"&amp;TEXT(ROW()-1,"0000"))</f>
        <v/>
      </c>
      <c r="B184" s="8">
        <f>IF($C184&amp;$H184="","",IF($B184="",NOW(),$B184))</f>
        <v/>
      </c>
      <c r="J184">
        <f>IF($F184="","",IFERROR(VLOOKUP($F184,Oppsett!$E$4:$F$11,2,FALSE),"– ikke tildelt –"))</f>
        <v/>
      </c>
      <c r="L184">
        <f>IF($B184="","",IF($K184&lt;&gt;"",$K184,$J184))</f>
        <v/>
      </c>
      <c r="N184" s="8">
        <f>IF(OR($B184="",$G184=""),"",$B184+VLOOKUP($G184,Oppsett!$H$4:$J$7,2,FALSE)/24)</f>
        <v/>
      </c>
      <c r="O184" s="8">
        <f>IF(OR($B184="",$G184=""),"",$B184+VLOOKUP($G184,Oppsett!$H$4:$J$7,3,FALSE)/24)</f>
        <v/>
      </c>
      <c r="P184" s="8" t="n"/>
      <c r="Q184" s="8" t="n"/>
      <c r="R184">
        <f>IF($B184="","",IF($P184&lt;&gt;"",IF($P184&lt;=$N184,"OK","Påbegynt for sent"),IF(NOW()&gt;$N184,"FORFALT","Innen frist")))</f>
        <v/>
      </c>
      <c r="S184">
        <f>IF($B184="","",IF($Q184&lt;&gt;"",IF($Q184&lt;=$O184,"OK","Løst for sent"),IF(NOW()&gt;$O184,"FORFALT","Innen frist")))</f>
        <v/>
      </c>
      <c r="T184" s="10">
        <f>IF(OR($B184="",$Q184=""),"",ROUND(($Q184-$B184)*24,1))</f>
        <v/>
      </c>
    </row>
    <row r="185">
      <c r="A185">
        <f>IF($B185="","","SAK-"&amp;TEXT(ROW()-1,"0000"))</f>
        <v/>
      </c>
      <c r="B185" s="8">
        <f>IF($C185&amp;$H185="","",IF($B185="",NOW(),$B185))</f>
        <v/>
      </c>
      <c r="J185">
        <f>IF($F185="","",IFERROR(VLOOKUP($F185,Oppsett!$E$4:$F$11,2,FALSE),"– ikke tildelt –"))</f>
        <v/>
      </c>
      <c r="L185">
        <f>IF($B185="","",IF($K185&lt;&gt;"",$K185,$J185))</f>
        <v/>
      </c>
      <c r="N185" s="8">
        <f>IF(OR($B185="",$G185=""),"",$B185+VLOOKUP($G185,Oppsett!$H$4:$J$7,2,FALSE)/24)</f>
        <v/>
      </c>
      <c r="O185" s="8">
        <f>IF(OR($B185="",$G185=""),"",$B185+VLOOKUP($G185,Oppsett!$H$4:$J$7,3,FALSE)/24)</f>
        <v/>
      </c>
      <c r="P185" s="8" t="n"/>
      <c r="Q185" s="8" t="n"/>
      <c r="R185">
        <f>IF($B185="","",IF($P185&lt;&gt;"",IF($P185&lt;=$N185,"OK","Påbegynt for sent"),IF(NOW()&gt;$N185,"FORFALT","Innen frist")))</f>
        <v/>
      </c>
      <c r="S185">
        <f>IF($B185="","",IF($Q185&lt;&gt;"",IF($Q185&lt;=$O185,"OK","Løst for sent"),IF(NOW()&gt;$O185,"FORFALT","Innen frist")))</f>
        <v/>
      </c>
      <c r="T185" s="10">
        <f>IF(OR($B185="",$Q185=""),"",ROUND(($Q185-$B185)*24,1))</f>
        <v/>
      </c>
    </row>
    <row r="186">
      <c r="A186">
        <f>IF($B186="","","SAK-"&amp;TEXT(ROW()-1,"0000"))</f>
        <v/>
      </c>
      <c r="B186" s="8">
        <f>IF($C186&amp;$H186="","",IF($B186="",NOW(),$B186))</f>
        <v/>
      </c>
      <c r="J186">
        <f>IF($F186="","",IFERROR(VLOOKUP($F186,Oppsett!$E$4:$F$11,2,FALSE),"– ikke tildelt –"))</f>
        <v/>
      </c>
      <c r="L186">
        <f>IF($B186="","",IF($K186&lt;&gt;"",$K186,$J186))</f>
        <v/>
      </c>
      <c r="N186" s="8">
        <f>IF(OR($B186="",$G186=""),"",$B186+VLOOKUP($G186,Oppsett!$H$4:$J$7,2,FALSE)/24)</f>
        <v/>
      </c>
      <c r="O186" s="8">
        <f>IF(OR($B186="",$G186=""),"",$B186+VLOOKUP($G186,Oppsett!$H$4:$J$7,3,FALSE)/24)</f>
        <v/>
      </c>
      <c r="P186" s="8" t="n"/>
      <c r="Q186" s="8" t="n"/>
      <c r="R186">
        <f>IF($B186="","",IF($P186&lt;&gt;"",IF($P186&lt;=$N186,"OK","Påbegynt for sent"),IF(NOW()&gt;$N186,"FORFALT","Innen frist")))</f>
        <v/>
      </c>
      <c r="S186">
        <f>IF($B186="","",IF($Q186&lt;&gt;"",IF($Q186&lt;=$O186,"OK","Løst for sent"),IF(NOW()&gt;$O186,"FORFALT","Innen frist")))</f>
        <v/>
      </c>
      <c r="T186" s="10">
        <f>IF(OR($B186="",$Q186=""),"",ROUND(($Q186-$B186)*24,1))</f>
        <v/>
      </c>
    </row>
    <row r="187">
      <c r="A187">
        <f>IF($B187="","","SAK-"&amp;TEXT(ROW()-1,"0000"))</f>
        <v/>
      </c>
      <c r="B187" s="8">
        <f>IF($C187&amp;$H187="","",IF($B187="",NOW(),$B187))</f>
        <v/>
      </c>
      <c r="J187">
        <f>IF($F187="","",IFERROR(VLOOKUP($F187,Oppsett!$E$4:$F$11,2,FALSE),"– ikke tildelt –"))</f>
        <v/>
      </c>
      <c r="L187">
        <f>IF($B187="","",IF($K187&lt;&gt;"",$K187,$J187))</f>
        <v/>
      </c>
      <c r="N187" s="8">
        <f>IF(OR($B187="",$G187=""),"",$B187+VLOOKUP($G187,Oppsett!$H$4:$J$7,2,FALSE)/24)</f>
        <v/>
      </c>
      <c r="O187" s="8">
        <f>IF(OR($B187="",$G187=""),"",$B187+VLOOKUP($G187,Oppsett!$H$4:$J$7,3,FALSE)/24)</f>
        <v/>
      </c>
      <c r="P187" s="8" t="n"/>
      <c r="Q187" s="8" t="n"/>
      <c r="R187">
        <f>IF($B187="","",IF($P187&lt;&gt;"",IF($P187&lt;=$N187,"OK","Påbegynt for sent"),IF(NOW()&gt;$N187,"FORFALT","Innen frist")))</f>
        <v/>
      </c>
      <c r="S187">
        <f>IF($B187="","",IF($Q187&lt;&gt;"",IF($Q187&lt;=$O187,"OK","Løst for sent"),IF(NOW()&gt;$O187,"FORFALT","Innen frist")))</f>
        <v/>
      </c>
      <c r="T187" s="10">
        <f>IF(OR($B187="",$Q187=""),"",ROUND(($Q187-$B187)*24,1))</f>
        <v/>
      </c>
    </row>
    <row r="188">
      <c r="A188">
        <f>IF($B188="","","SAK-"&amp;TEXT(ROW()-1,"0000"))</f>
        <v/>
      </c>
      <c r="B188" s="8">
        <f>IF($C188&amp;$H188="","",IF($B188="",NOW(),$B188))</f>
        <v/>
      </c>
      <c r="J188">
        <f>IF($F188="","",IFERROR(VLOOKUP($F188,Oppsett!$E$4:$F$11,2,FALSE),"– ikke tildelt –"))</f>
        <v/>
      </c>
      <c r="L188">
        <f>IF($B188="","",IF($K188&lt;&gt;"",$K188,$J188))</f>
        <v/>
      </c>
      <c r="N188" s="8">
        <f>IF(OR($B188="",$G188=""),"",$B188+VLOOKUP($G188,Oppsett!$H$4:$J$7,2,FALSE)/24)</f>
        <v/>
      </c>
      <c r="O188" s="8">
        <f>IF(OR($B188="",$G188=""),"",$B188+VLOOKUP($G188,Oppsett!$H$4:$J$7,3,FALSE)/24)</f>
        <v/>
      </c>
      <c r="P188" s="8" t="n"/>
      <c r="Q188" s="8" t="n"/>
      <c r="R188">
        <f>IF($B188="","",IF($P188&lt;&gt;"",IF($P188&lt;=$N188,"OK","Påbegynt for sent"),IF(NOW()&gt;$N188,"FORFALT","Innen frist")))</f>
        <v/>
      </c>
      <c r="S188">
        <f>IF($B188="","",IF($Q188&lt;&gt;"",IF($Q188&lt;=$O188,"OK","Løst for sent"),IF(NOW()&gt;$O188,"FORFALT","Innen frist")))</f>
        <v/>
      </c>
      <c r="T188" s="10">
        <f>IF(OR($B188="",$Q188=""),"",ROUND(($Q188-$B188)*24,1))</f>
        <v/>
      </c>
    </row>
    <row r="189">
      <c r="A189">
        <f>IF($B189="","","SAK-"&amp;TEXT(ROW()-1,"0000"))</f>
        <v/>
      </c>
      <c r="B189" s="8">
        <f>IF($C189&amp;$H189="","",IF($B189="",NOW(),$B189))</f>
        <v/>
      </c>
      <c r="J189">
        <f>IF($F189="","",IFERROR(VLOOKUP($F189,Oppsett!$E$4:$F$11,2,FALSE),"– ikke tildelt –"))</f>
        <v/>
      </c>
      <c r="L189">
        <f>IF($B189="","",IF($K189&lt;&gt;"",$K189,$J189))</f>
        <v/>
      </c>
      <c r="N189" s="8">
        <f>IF(OR($B189="",$G189=""),"",$B189+VLOOKUP($G189,Oppsett!$H$4:$J$7,2,FALSE)/24)</f>
        <v/>
      </c>
      <c r="O189" s="8">
        <f>IF(OR($B189="",$G189=""),"",$B189+VLOOKUP($G189,Oppsett!$H$4:$J$7,3,FALSE)/24)</f>
        <v/>
      </c>
      <c r="P189" s="8" t="n"/>
      <c r="Q189" s="8" t="n"/>
      <c r="R189">
        <f>IF($B189="","",IF($P189&lt;&gt;"",IF($P189&lt;=$N189,"OK","Påbegynt for sent"),IF(NOW()&gt;$N189,"FORFALT","Innen frist")))</f>
        <v/>
      </c>
      <c r="S189">
        <f>IF($B189="","",IF($Q189&lt;&gt;"",IF($Q189&lt;=$O189,"OK","Løst for sent"),IF(NOW()&gt;$O189,"FORFALT","Innen frist")))</f>
        <v/>
      </c>
      <c r="T189" s="10">
        <f>IF(OR($B189="",$Q189=""),"",ROUND(($Q189-$B189)*24,1))</f>
        <v/>
      </c>
    </row>
    <row r="190">
      <c r="A190">
        <f>IF($B190="","","SAK-"&amp;TEXT(ROW()-1,"0000"))</f>
        <v/>
      </c>
      <c r="B190" s="8">
        <f>IF($C190&amp;$H190="","",IF($B190="",NOW(),$B190))</f>
        <v/>
      </c>
      <c r="J190">
        <f>IF($F190="","",IFERROR(VLOOKUP($F190,Oppsett!$E$4:$F$11,2,FALSE),"– ikke tildelt –"))</f>
        <v/>
      </c>
      <c r="L190">
        <f>IF($B190="","",IF($K190&lt;&gt;"",$K190,$J190))</f>
        <v/>
      </c>
      <c r="N190" s="8">
        <f>IF(OR($B190="",$G190=""),"",$B190+VLOOKUP($G190,Oppsett!$H$4:$J$7,2,FALSE)/24)</f>
        <v/>
      </c>
      <c r="O190" s="8">
        <f>IF(OR($B190="",$G190=""),"",$B190+VLOOKUP($G190,Oppsett!$H$4:$J$7,3,FALSE)/24)</f>
        <v/>
      </c>
      <c r="P190" s="8" t="n"/>
      <c r="Q190" s="8" t="n"/>
      <c r="R190">
        <f>IF($B190="","",IF($P190&lt;&gt;"",IF($P190&lt;=$N190,"OK","Påbegynt for sent"),IF(NOW()&gt;$N190,"FORFALT","Innen frist")))</f>
        <v/>
      </c>
      <c r="S190">
        <f>IF($B190="","",IF($Q190&lt;&gt;"",IF($Q190&lt;=$O190,"OK","Løst for sent"),IF(NOW()&gt;$O190,"FORFALT","Innen frist")))</f>
        <v/>
      </c>
      <c r="T190" s="10">
        <f>IF(OR($B190="",$Q190=""),"",ROUND(($Q190-$B190)*24,1))</f>
        <v/>
      </c>
    </row>
    <row r="191">
      <c r="A191">
        <f>IF($B191="","","SAK-"&amp;TEXT(ROW()-1,"0000"))</f>
        <v/>
      </c>
      <c r="B191" s="8">
        <f>IF($C191&amp;$H191="","",IF($B191="",NOW(),$B191))</f>
        <v/>
      </c>
      <c r="J191">
        <f>IF($F191="","",IFERROR(VLOOKUP($F191,Oppsett!$E$4:$F$11,2,FALSE),"– ikke tildelt –"))</f>
        <v/>
      </c>
      <c r="L191">
        <f>IF($B191="","",IF($K191&lt;&gt;"",$K191,$J191))</f>
        <v/>
      </c>
      <c r="N191" s="8">
        <f>IF(OR($B191="",$G191=""),"",$B191+VLOOKUP($G191,Oppsett!$H$4:$J$7,2,FALSE)/24)</f>
        <v/>
      </c>
      <c r="O191" s="8">
        <f>IF(OR($B191="",$G191=""),"",$B191+VLOOKUP($G191,Oppsett!$H$4:$J$7,3,FALSE)/24)</f>
        <v/>
      </c>
      <c r="P191" s="8" t="n"/>
      <c r="Q191" s="8" t="n"/>
      <c r="R191">
        <f>IF($B191="","",IF($P191&lt;&gt;"",IF($P191&lt;=$N191,"OK","Påbegynt for sent"),IF(NOW()&gt;$N191,"FORFALT","Innen frist")))</f>
        <v/>
      </c>
      <c r="S191">
        <f>IF($B191="","",IF($Q191&lt;&gt;"",IF($Q191&lt;=$O191,"OK","Løst for sent"),IF(NOW()&gt;$O191,"FORFALT","Innen frist")))</f>
        <v/>
      </c>
      <c r="T191" s="10">
        <f>IF(OR($B191="",$Q191=""),"",ROUND(($Q191-$B191)*24,1))</f>
        <v/>
      </c>
    </row>
    <row r="192">
      <c r="A192">
        <f>IF($B192="","","SAK-"&amp;TEXT(ROW()-1,"0000"))</f>
        <v/>
      </c>
      <c r="B192" s="8">
        <f>IF($C192&amp;$H192="","",IF($B192="",NOW(),$B192))</f>
        <v/>
      </c>
      <c r="J192">
        <f>IF($F192="","",IFERROR(VLOOKUP($F192,Oppsett!$E$4:$F$11,2,FALSE),"– ikke tildelt –"))</f>
        <v/>
      </c>
      <c r="L192">
        <f>IF($B192="","",IF($K192&lt;&gt;"",$K192,$J192))</f>
        <v/>
      </c>
      <c r="N192" s="8">
        <f>IF(OR($B192="",$G192=""),"",$B192+VLOOKUP($G192,Oppsett!$H$4:$J$7,2,FALSE)/24)</f>
        <v/>
      </c>
      <c r="O192" s="8">
        <f>IF(OR($B192="",$G192=""),"",$B192+VLOOKUP($G192,Oppsett!$H$4:$J$7,3,FALSE)/24)</f>
        <v/>
      </c>
      <c r="P192" s="8" t="n"/>
      <c r="Q192" s="8" t="n"/>
      <c r="R192">
        <f>IF($B192="","",IF($P192&lt;&gt;"",IF($P192&lt;=$N192,"OK","Påbegynt for sent"),IF(NOW()&gt;$N192,"FORFALT","Innen frist")))</f>
        <v/>
      </c>
      <c r="S192">
        <f>IF($B192="","",IF($Q192&lt;&gt;"",IF($Q192&lt;=$O192,"OK","Løst for sent"),IF(NOW()&gt;$O192,"FORFALT","Innen frist")))</f>
        <v/>
      </c>
      <c r="T192" s="10">
        <f>IF(OR($B192="",$Q192=""),"",ROUND(($Q192-$B192)*24,1))</f>
        <v/>
      </c>
    </row>
    <row r="193">
      <c r="A193">
        <f>IF($B193="","","SAK-"&amp;TEXT(ROW()-1,"0000"))</f>
        <v/>
      </c>
      <c r="B193" s="8">
        <f>IF($C193&amp;$H193="","",IF($B193="",NOW(),$B193))</f>
        <v/>
      </c>
      <c r="J193">
        <f>IF($F193="","",IFERROR(VLOOKUP($F193,Oppsett!$E$4:$F$11,2,FALSE),"– ikke tildelt –"))</f>
        <v/>
      </c>
      <c r="L193">
        <f>IF($B193="","",IF($K193&lt;&gt;"",$K193,$J193))</f>
        <v/>
      </c>
      <c r="N193" s="8">
        <f>IF(OR($B193="",$G193=""),"",$B193+VLOOKUP($G193,Oppsett!$H$4:$J$7,2,FALSE)/24)</f>
        <v/>
      </c>
      <c r="O193" s="8">
        <f>IF(OR($B193="",$G193=""),"",$B193+VLOOKUP($G193,Oppsett!$H$4:$J$7,3,FALSE)/24)</f>
        <v/>
      </c>
      <c r="P193" s="8" t="n"/>
      <c r="Q193" s="8" t="n"/>
      <c r="R193">
        <f>IF($B193="","",IF($P193&lt;&gt;"",IF($P193&lt;=$N193,"OK","Påbegynt for sent"),IF(NOW()&gt;$N193,"FORFALT","Innen frist")))</f>
        <v/>
      </c>
      <c r="S193">
        <f>IF($B193="","",IF($Q193&lt;&gt;"",IF($Q193&lt;=$O193,"OK","Løst for sent"),IF(NOW()&gt;$O193,"FORFALT","Innen frist")))</f>
        <v/>
      </c>
      <c r="T193" s="10">
        <f>IF(OR($B193="",$Q193=""),"",ROUND(($Q193-$B193)*24,1))</f>
        <v/>
      </c>
    </row>
    <row r="194">
      <c r="A194">
        <f>IF($B194="","","SAK-"&amp;TEXT(ROW()-1,"0000"))</f>
        <v/>
      </c>
      <c r="B194" s="8">
        <f>IF($C194&amp;$H194="","",IF($B194="",NOW(),$B194))</f>
        <v/>
      </c>
      <c r="J194">
        <f>IF($F194="","",IFERROR(VLOOKUP($F194,Oppsett!$E$4:$F$11,2,FALSE),"– ikke tildelt –"))</f>
        <v/>
      </c>
      <c r="L194">
        <f>IF($B194="","",IF($K194&lt;&gt;"",$K194,$J194))</f>
        <v/>
      </c>
      <c r="N194" s="8">
        <f>IF(OR($B194="",$G194=""),"",$B194+VLOOKUP($G194,Oppsett!$H$4:$J$7,2,FALSE)/24)</f>
        <v/>
      </c>
      <c r="O194" s="8">
        <f>IF(OR($B194="",$G194=""),"",$B194+VLOOKUP($G194,Oppsett!$H$4:$J$7,3,FALSE)/24)</f>
        <v/>
      </c>
      <c r="P194" s="8" t="n"/>
      <c r="Q194" s="8" t="n"/>
      <c r="R194">
        <f>IF($B194="","",IF($P194&lt;&gt;"",IF($P194&lt;=$N194,"OK","Påbegynt for sent"),IF(NOW()&gt;$N194,"FORFALT","Innen frist")))</f>
        <v/>
      </c>
      <c r="S194">
        <f>IF($B194="","",IF($Q194&lt;&gt;"",IF($Q194&lt;=$O194,"OK","Løst for sent"),IF(NOW()&gt;$O194,"FORFALT","Innen frist")))</f>
        <v/>
      </c>
      <c r="T194" s="10">
        <f>IF(OR($B194="",$Q194=""),"",ROUND(($Q194-$B194)*24,1))</f>
        <v/>
      </c>
    </row>
    <row r="195">
      <c r="A195">
        <f>IF($B195="","","SAK-"&amp;TEXT(ROW()-1,"0000"))</f>
        <v/>
      </c>
      <c r="B195" s="8">
        <f>IF($C195&amp;$H195="","",IF($B195="",NOW(),$B195))</f>
        <v/>
      </c>
      <c r="J195">
        <f>IF($F195="","",IFERROR(VLOOKUP($F195,Oppsett!$E$4:$F$11,2,FALSE),"– ikke tildelt –"))</f>
        <v/>
      </c>
      <c r="L195">
        <f>IF($B195="","",IF($K195&lt;&gt;"",$K195,$J195))</f>
        <v/>
      </c>
      <c r="N195" s="8">
        <f>IF(OR($B195="",$G195=""),"",$B195+VLOOKUP($G195,Oppsett!$H$4:$J$7,2,FALSE)/24)</f>
        <v/>
      </c>
      <c r="O195" s="8">
        <f>IF(OR($B195="",$G195=""),"",$B195+VLOOKUP($G195,Oppsett!$H$4:$J$7,3,FALSE)/24)</f>
        <v/>
      </c>
      <c r="P195" s="8" t="n"/>
      <c r="Q195" s="8" t="n"/>
      <c r="R195">
        <f>IF($B195="","",IF($P195&lt;&gt;"",IF($P195&lt;=$N195,"OK","Påbegynt for sent"),IF(NOW()&gt;$N195,"FORFALT","Innen frist")))</f>
        <v/>
      </c>
      <c r="S195">
        <f>IF($B195="","",IF($Q195&lt;&gt;"",IF($Q195&lt;=$O195,"OK","Løst for sent"),IF(NOW()&gt;$O195,"FORFALT","Innen frist")))</f>
        <v/>
      </c>
      <c r="T195" s="10">
        <f>IF(OR($B195="",$Q195=""),"",ROUND(($Q195-$B195)*24,1))</f>
        <v/>
      </c>
    </row>
    <row r="196">
      <c r="A196">
        <f>IF($B196="","","SAK-"&amp;TEXT(ROW()-1,"0000"))</f>
        <v/>
      </c>
      <c r="B196" s="8">
        <f>IF($C196&amp;$H196="","",IF($B196="",NOW(),$B196))</f>
        <v/>
      </c>
      <c r="J196">
        <f>IF($F196="","",IFERROR(VLOOKUP($F196,Oppsett!$E$4:$F$11,2,FALSE),"– ikke tildelt –"))</f>
        <v/>
      </c>
      <c r="L196">
        <f>IF($B196="","",IF($K196&lt;&gt;"",$K196,$J196))</f>
        <v/>
      </c>
      <c r="N196" s="8">
        <f>IF(OR($B196="",$G196=""),"",$B196+VLOOKUP($G196,Oppsett!$H$4:$J$7,2,FALSE)/24)</f>
        <v/>
      </c>
      <c r="O196" s="8">
        <f>IF(OR($B196="",$G196=""),"",$B196+VLOOKUP($G196,Oppsett!$H$4:$J$7,3,FALSE)/24)</f>
        <v/>
      </c>
      <c r="P196" s="8" t="n"/>
      <c r="Q196" s="8" t="n"/>
      <c r="R196">
        <f>IF($B196="","",IF($P196&lt;&gt;"",IF($P196&lt;=$N196,"OK","Påbegynt for sent"),IF(NOW()&gt;$N196,"FORFALT","Innen frist")))</f>
        <v/>
      </c>
      <c r="S196">
        <f>IF($B196="","",IF($Q196&lt;&gt;"",IF($Q196&lt;=$O196,"OK","Løst for sent"),IF(NOW()&gt;$O196,"FORFALT","Innen frist")))</f>
        <v/>
      </c>
      <c r="T196" s="10">
        <f>IF(OR($B196="",$Q196=""),"",ROUND(($Q196-$B196)*24,1))</f>
        <v/>
      </c>
    </row>
    <row r="197">
      <c r="A197">
        <f>IF($B197="","","SAK-"&amp;TEXT(ROW()-1,"0000"))</f>
        <v/>
      </c>
      <c r="B197" s="8">
        <f>IF($C197&amp;$H197="","",IF($B197="",NOW(),$B197))</f>
        <v/>
      </c>
      <c r="J197">
        <f>IF($F197="","",IFERROR(VLOOKUP($F197,Oppsett!$E$4:$F$11,2,FALSE),"– ikke tildelt –"))</f>
        <v/>
      </c>
      <c r="L197">
        <f>IF($B197="","",IF($K197&lt;&gt;"",$K197,$J197))</f>
        <v/>
      </c>
      <c r="N197" s="8">
        <f>IF(OR($B197="",$G197=""),"",$B197+VLOOKUP($G197,Oppsett!$H$4:$J$7,2,FALSE)/24)</f>
        <v/>
      </c>
      <c r="O197" s="8">
        <f>IF(OR($B197="",$G197=""),"",$B197+VLOOKUP($G197,Oppsett!$H$4:$J$7,3,FALSE)/24)</f>
        <v/>
      </c>
      <c r="P197" s="8" t="n"/>
      <c r="Q197" s="8" t="n"/>
      <c r="R197">
        <f>IF($B197="","",IF($P197&lt;&gt;"",IF($P197&lt;=$N197,"OK","Påbegynt for sent"),IF(NOW()&gt;$N197,"FORFALT","Innen frist")))</f>
        <v/>
      </c>
      <c r="S197">
        <f>IF($B197="","",IF($Q197&lt;&gt;"",IF($Q197&lt;=$O197,"OK","Løst for sent"),IF(NOW()&gt;$O197,"FORFALT","Innen frist")))</f>
        <v/>
      </c>
      <c r="T197" s="10">
        <f>IF(OR($B197="",$Q197=""),"",ROUND(($Q197-$B197)*24,1))</f>
        <v/>
      </c>
    </row>
    <row r="198">
      <c r="A198">
        <f>IF($B198="","","SAK-"&amp;TEXT(ROW()-1,"0000"))</f>
        <v/>
      </c>
      <c r="B198" s="8">
        <f>IF($C198&amp;$H198="","",IF($B198="",NOW(),$B198))</f>
        <v/>
      </c>
      <c r="J198">
        <f>IF($F198="","",IFERROR(VLOOKUP($F198,Oppsett!$E$4:$F$11,2,FALSE),"– ikke tildelt –"))</f>
        <v/>
      </c>
      <c r="L198">
        <f>IF($B198="","",IF($K198&lt;&gt;"",$K198,$J198))</f>
        <v/>
      </c>
      <c r="N198" s="8">
        <f>IF(OR($B198="",$G198=""),"",$B198+VLOOKUP($G198,Oppsett!$H$4:$J$7,2,FALSE)/24)</f>
        <v/>
      </c>
      <c r="O198" s="8">
        <f>IF(OR($B198="",$G198=""),"",$B198+VLOOKUP($G198,Oppsett!$H$4:$J$7,3,FALSE)/24)</f>
        <v/>
      </c>
      <c r="P198" s="8" t="n"/>
      <c r="Q198" s="8" t="n"/>
      <c r="R198">
        <f>IF($B198="","",IF($P198&lt;&gt;"",IF($P198&lt;=$N198,"OK","Påbegynt for sent"),IF(NOW()&gt;$N198,"FORFALT","Innen frist")))</f>
        <v/>
      </c>
      <c r="S198">
        <f>IF($B198="","",IF($Q198&lt;&gt;"",IF($Q198&lt;=$O198,"OK","Løst for sent"),IF(NOW()&gt;$O198,"FORFALT","Innen frist")))</f>
        <v/>
      </c>
      <c r="T198" s="10">
        <f>IF(OR($B198="",$Q198=""),"",ROUND(($Q198-$B198)*24,1))</f>
        <v/>
      </c>
    </row>
    <row r="199">
      <c r="A199">
        <f>IF($B199="","","SAK-"&amp;TEXT(ROW()-1,"0000"))</f>
        <v/>
      </c>
      <c r="B199" s="8">
        <f>IF($C199&amp;$H199="","",IF($B199="",NOW(),$B199))</f>
        <v/>
      </c>
      <c r="J199">
        <f>IF($F199="","",IFERROR(VLOOKUP($F199,Oppsett!$E$4:$F$11,2,FALSE),"– ikke tildelt –"))</f>
        <v/>
      </c>
      <c r="L199">
        <f>IF($B199="","",IF($K199&lt;&gt;"",$K199,$J199))</f>
        <v/>
      </c>
      <c r="N199" s="8">
        <f>IF(OR($B199="",$G199=""),"",$B199+VLOOKUP($G199,Oppsett!$H$4:$J$7,2,FALSE)/24)</f>
        <v/>
      </c>
      <c r="O199" s="8">
        <f>IF(OR($B199="",$G199=""),"",$B199+VLOOKUP($G199,Oppsett!$H$4:$J$7,3,FALSE)/24)</f>
        <v/>
      </c>
      <c r="P199" s="8" t="n"/>
      <c r="Q199" s="8" t="n"/>
      <c r="R199">
        <f>IF($B199="","",IF($P199&lt;&gt;"",IF($P199&lt;=$N199,"OK","Påbegynt for sent"),IF(NOW()&gt;$N199,"FORFALT","Innen frist")))</f>
        <v/>
      </c>
      <c r="S199">
        <f>IF($B199="","",IF($Q199&lt;&gt;"",IF($Q199&lt;=$O199,"OK","Løst for sent"),IF(NOW()&gt;$O199,"FORFALT","Innen frist")))</f>
        <v/>
      </c>
      <c r="T199" s="10">
        <f>IF(OR($B199="",$Q199=""),"",ROUND(($Q199-$B199)*24,1))</f>
        <v/>
      </c>
    </row>
    <row r="200">
      <c r="A200">
        <f>IF($B200="","","SAK-"&amp;TEXT(ROW()-1,"0000"))</f>
        <v/>
      </c>
      <c r="B200" s="8">
        <f>IF($C200&amp;$H200="","",IF($B200="",NOW(),$B200))</f>
        <v/>
      </c>
      <c r="J200">
        <f>IF($F200="","",IFERROR(VLOOKUP($F200,Oppsett!$E$4:$F$11,2,FALSE),"– ikke tildelt –"))</f>
        <v/>
      </c>
      <c r="L200">
        <f>IF($B200="","",IF($K200&lt;&gt;"",$K200,$J200))</f>
        <v/>
      </c>
      <c r="N200" s="8">
        <f>IF(OR($B200="",$G200=""),"",$B200+VLOOKUP($G200,Oppsett!$H$4:$J$7,2,FALSE)/24)</f>
        <v/>
      </c>
      <c r="O200" s="8">
        <f>IF(OR($B200="",$G200=""),"",$B200+VLOOKUP($G200,Oppsett!$H$4:$J$7,3,FALSE)/24)</f>
        <v/>
      </c>
      <c r="P200" s="8" t="n"/>
      <c r="Q200" s="8" t="n"/>
      <c r="R200">
        <f>IF($B200="","",IF($P200&lt;&gt;"",IF($P200&lt;=$N200,"OK","Påbegynt for sent"),IF(NOW()&gt;$N200,"FORFALT","Innen frist")))</f>
        <v/>
      </c>
      <c r="S200">
        <f>IF($B200="","",IF($Q200&lt;&gt;"",IF($Q200&lt;=$O200,"OK","Løst for sent"),IF(NOW()&gt;$O200,"FORFALT","Innen frist")))</f>
        <v/>
      </c>
      <c r="T200" s="10">
        <f>IF(OR($B200="",$Q200=""),"",ROUND(($Q200-$B200)*24,1))</f>
        <v/>
      </c>
    </row>
    <row r="201">
      <c r="A201">
        <f>IF($B201="","","SAK-"&amp;TEXT(ROW()-1,"0000"))</f>
        <v/>
      </c>
      <c r="B201" s="8">
        <f>IF($C201&amp;$H201="","",IF($B201="",NOW(),$B201))</f>
        <v/>
      </c>
      <c r="J201">
        <f>IF($F201="","",IFERROR(VLOOKUP($F201,Oppsett!$E$4:$F$11,2,FALSE),"– ikke tildelt –"))</f>
        <v/>
      </c>
      <c r="L201">
        <f>IF($B201="","",IF($K201&lt;&gt;"",$K201,$J201))</f>
        <v/>
      </c>
      <c r="N201" s="8">
        <f>IF(OR($B201="",$G201=""),"",$B201+VLOOKUP($G201,Oppsett!$H$4:$J$7,2,FALSE)/24)</f>
        <v/>
      </c>
      <c r="O201" s="8">
        <f>IF(OR($B201="",$G201=""),"",$B201+VLOOKUP($G201,Oppsett!$H$4:$J$7,3,FALSE)/24)</f>
        <v/>
      </c>
      <c r="P201" s="8" t="n"/>
      <c r="Q201" s="8" t="n"/>
      <c r="R201">
        <f>IF($B201="","",IF($P201&lt;&gt;"",IF($P201&lt;=$N201,"OK","Påbegynt for sent"),IF(NOW()&gt;$N201,"FORFALT","Innen frist")))</f>
        <v/>
      </c>
      <c r="S201">
        <f>IF($B201="","",IF($Q201&lt;&gt;"",IF($Q201&lt;=$O201,"OK","Løst for sent"),IF(NOW()&gt;$O201,"FORFALT","Innen frist")))</f>
        <v/>
      </c>
      <c r="T201" s="10">
        <f>IF(OR($B201="",$Q201=""),"",ROUND(($Q201-$B201)*24,1))</f>
        <v/>
      </c>
    </row>
    <row r="202">
      <c r="A202">
        <f>IF($B202="","","SAK-"&amp;TEXT(ROW()-1,"0000"))</f>
        <v/>
      </c>
      <c r="B202" s="8">
        <f>IF($C202&amp;$H202="","",IF($B202="",NOW(),$B202))</f>
        <v/>
      </c>
      <c r="J202">
        <f>IF($F202="","",IFERROR(VLOOKUP($F202,Oppsett!$E$4:$F$11,2,FALSE),"– ikke tildelt –"))</f>
        <v/>
      </c>
      <c r="L202">
        <f>IF($B202="","",IF($K202&lt;&gt;"",$K202,$J202))</f>
        <v/>
      </c>
      <c r="N202" s="8">
        <f>IF(OR($B202="",$G202=""),"",$B202+VLOOKUP($G202,Oppsett!$H$4:$J$7,2,FALSE)/24)</f>
        <v/>
      </c>
      <c r="O202" s="8">
        <f>IF(OR($B202="",$G202=""),"",$B202+VLOOKUP($G202,Oppsett!$H$4:$J$7,3,FALSE)/24)</f>
        <v/>
      </c>
      <c r="P202" s="8" t="n"/>
      <c r="Q202" s="8" t="n"/>
      <c r="R202">
        <f>IF($B202="","",IF($P202&lt;&gt;"",IF($P202&lt;=$N202,"OK","Påbegynt for sent"),IF(NOW()&gt;$N202,"FORFALT","Innen frist")))</f>
        <v/>
      </c>
      <c r="S202">
        <f>IF($B202="","",IF($Q202&lt;&gt;"",IF($Q202&lt;=$O202,"OK","Løst for sent"),IF(NOW()&gt;$O202,"FORFALT","Innen frist")))</f>
        <v/>
      </c>
      <c r="T202" s="10">
        <f>IF(OR($B202="",$Q202=""),"",ROUND(($Q202-$B202)*24,1))</f>
        <v/>
      </c>
    </row>
    <row r="203">
      <c r="A203">
        <f>IF($B203="","","SAK-"&amp;TEXT(ROW()-1,"0000"))</f>
        <v/>
      </c>
      <c r="B203" s="8">
        <f>IF($C203&amp;$H203="","",IF($B203="",NOW(),$B203))</f>
        <v/>
      </c>
      <c r="J203">
        <f>IF($F203="","",IFERROR(VLOOKUP($F203,Oppsett!$E$4:$F$11,2,FALSE),"– ikke tildelt –"))</f>
        <v/>
      </c>
      <c r="L203">
        <f>IF($B203="","",IF($K203&lt;&gt;"",$K203,$J203))</f>
        <v/>
      </c>
      <c r="N203" s="8">
        <f>IF(OR($B203="",$G203=""),"",$B203+VLOOKUP($G203,Oppsett!$H$4:$J$7,2,FALSE)/24)</f>
        <v/>
      </c>
      <c r="O203" s="8">
        <f>IF(OR($B203="",$G203=""),"",$B203+VLOOKUP($G203,Oppsett!$H$4:$J$7,3,FALSE)/24)</f>
        <v/>
      </c>
      <c r="P203" s="8" t="n"/>
      <c r="Q203" s="8" t="n"/>
      <c r="R203">
        <f>IF($B203="","",IF($P203&lt;&gt;"",IF($P203&lt;=$N203,"OK","Påbegynt for sent"),IF(NOW()&gt;$N203,"FORFALT","Innen frist")))</f>
        <v/>
      </c>
      <c r="S203">
        <f>IF($B203="","",IF($Q203&lt;&gt;"",IF($Q203&lt;=$O203,"OK","Løst for sent"),IF(NOW()&gt;$O203,"FORFALT","Innen frist")))</f>
        <v/>
      </c>
      <c r="T203" s="10">
        <f>IF(OR($B203="",$Q203=""),"",ROUND(($Q203-$B203)*24,1))</f>
        <v/>
      </c>
    </row>
    <row r="204">
      <c r="A204">
        <f>IF($B204="","","SAK-"&amp;TEXT(ROW()-1,"0000"))</f>
        <v/>
      </c>
      <c r="B204" s="8">
        <f>IF($C204&amp;$H204="","",IF($B204="",NOW(),$B204))</f>
        <v/>
      </c>
      <c r="J204">
        <f>IF($F204="","",IFERROR(VLOOKUP($F204,Oppsett!$E$4:$F$11,2,FALSE),"– ikke tildelt –"))</f>
        <v/>
      </c>
      <c r="L204">
        <f>IF($B204="","",IF($K204&lt;&gt;"",$K204,$J204))</f>
        <v/>
      </c>
      <c r="N204" s="8">
        <f>IF(OR($B204="",$G204=""),"",$B204+VLOOKUP($G204,Oppsett!$H$4:$J$7,2,FALSE)/24)</f>
        <v/>
      </c>
      <c r="O204" s="8">
        <f>IF(OR($B204="",$G204=""),"",$B204+VLOOKUP($G204,Oppsett!$H$4:$J$7,3,FALSE)/24)</f>
        <v/>
      </c>
      <c r="P204" s="8" t="n"/>
      <c r="Q204" s="8" t="n"/>
      <c r="R204">
        <f>IF($B204="","",IF($P204&lt;&gt;"",IF($P204&lt;=$N204,"OK","Påbegynt for sent"),IF(NOW()&gt;$N204,"FORFALT","Innen frist")))</f>
        <v/>
      </c>
      <c r="S204">
        <f>IF($B204="","",IF($Q204&lt;&gt;"",IF($Q204&lt;=$O204,"OK","Løst for sent"),IF(NOW()&gt;$O204,"FORFALT","Innen frist")))</f>
        <v/>
      </c>
      <c r="T204" s="10">
        <f>IF(OR($B204="",$Q204=""),"",ROUND(($Q204-$B204)*24,1))</f>
        <v/>
      </c>
    </row>
    <row r="205">
      <c r="A205">
        <f>IF($B205="","","SAK-"&amp;TEXT(ROW()-1,"0000"))</f>
        <v/>
      </c>
      <c r="B205" s="8">
        <f>IF($C205&amp;$H205="","",IF($B205="",NOW(),$B205))</f>
        <v/>
      </c>
      <c r="J205">
        <f>IF($F205="","",IFERROR(VLOOKUP($F205,Oppsett!$E$4:$F$11,2,FALSE),"– ikke tildelt –"))</f>
        <v/>
      </c>
      <c r="L205">
        <f>IF($B205="","",IF($K205&lt;&gt;"",$K205,$J205))</f>
        <v/>
      </c>
      <c r="N205" s="8">
        <f>IF(OR($B205="",$G205=""),"",$B205+VLOOKUP($G205,Oppsett!$H$4:$J$7,2,FALSE)/24)</f>
        <v/>
      </c>
      <c r="O205" s="8">
        <f>IF(OR($B205="",$G205=""),"",$B205+VLOOKUP($G205,Oppsett!$H$4:$J$7,3,FALSE)/24)</f>
        <v/>
      </c>
      <c r="P205" s="8" t="n"/>
      <c r="Q205" s="8" t="n"/>
      <c r="R205">
        <f>IF($B205="","",IF($P205&lt;&gt;"",IF($P205&lt;=$N205,"OK","Påbegynt for sent"),IF(NOW()&gt;$N205,"FORFALT","Innen frist")))</f>
        <v/>
      </c>
      <c r="S205">
        <f>IF($B205="","",IF($Q205&lt;&gt;"",IF($Q205&lt;=$O205,"OK","Løst for sent"),IF(NOW()&gt;$O205,"FORFALT","Innen frist")))</f>
        <v/>
      </c>
      <c r="T205" s="10">
        <f>IF(OR($B205="",$Q205=""),"",ROUND(($Q205-$B205)*24,1))</f>
        <v/>
      </c>
    </row>
    <row r="206">
      <c r="A206">
        <f>IF($B206="","","SAK-"&amp;TEXT(ROW()-1,"0000"))</f>
        <v/>
      </c>
      <c r="B206" s="8">
        <f>IF($C206&amp;$H206="","",IF($B206="",NOW(),$B206))</f>
        <v/>
      </c>
      <c r="J206">
        <f>IF($F206="","",IFERROR(VLOOKUP($F206,Oppsett!$E$4:$F$11,2,FALSE),"– ikke tildelt –"))</f>
        <v/>
      </c>
      <c r="L206">
        <f>IF($B206="","",IF($K206&lt;&gt;"",$K206,$J206))</f>
        <v/>
      </c>
      <c r="N206" s="8">
        <f>IF(OR($B206="",$G206=""),"",$B206+VLOOKUP($G206,Oppsett!$H$4:$J$7,2,FALSE)/24)</f>
        <v/>
      </c>
      <c r="O206" s="8">
        <f>IF(OR($B206="",$G206=""),"",$B206+VLOOKUP($G206,Oppsett!$H$4:$J$7,3,FALSE)/24)</f>
        <v/>
      </c>
      <c r="P206" s="8" t="n"/>
      <c r="Q206" s="8" t="n"/>
      <c r="R206">
        <f>IF($B206="","",IF($P206&lt;&gt;"",IF($P206&lt;=$N206,"OK","Påbegynt for sent"),IF(NOW()&gt;$N206,"FORFALT","Innen frist")))</f>
        <v/>
      </c>
      <c r="S206">
        <f>IF($B206="","",IF($Q206&lt;&gt;"",IF($Q206&lt;=$O206,"OK","Løst for sent"),IF(NOW()&gt;$O206,"FORFALT","Innen frist")))</f>
        <v/>
      </c>
      <c r="T206" s="10">
        <f>IF(OR($B206="",$Q206=""),"",ROUND(($Q206-$B206)*24,1))</f>
        <v/>
      </c>
    </row>
    <row r="207">
      <c r="A207">
        <f>IF($B207="","","SAK-"&amp;TEXT(ROW()-1,"0000"))</f>
        <v/>
      </c>
      <c r="B207" s="8">
        <f>IF($C207&amp;$H207="","",IF($B207="",NOW(),$B207))</f>
        <v/>
      </c>
      <c r="J207">
        <f>IF($F207="","",IFERROR(VLOOKUP($F207,Oppsett!$E$4:$F$11,2,FALSE),"– ikke tildelt –"))</f>
        <v/>
      </c>
      <c r="L207">
        <f>IF($B207="","",IF($K207&lt;&gt;"",$K207,$J207))</f>
        <v/>
      </c>
      <c r="N207" s="8">
        <f>IF(OR($B207="",$G207=""),"",$B207+VLOOKUP($G207,Oppsett!$H$4:$J$7,2,FALSE)/24)</f>
        <v/>
      </c>
      <c r="O207" s="8">
        <f>IF(OR($B207="",$G207=""),"",$B207+VLOOKUP($G207,Oppsett!$H$4:$J$7,3,FALSE)/24)</f>
        <v/>
      </c>
      <c r="P207" s="8" t="n"/>
      <c r="Q207" s="8" t="n"/>
      <c r="R207">
        <f>IF($B207="","",IF($P207&lt;&gt;"",IF($P207&lt;=$N207,"OK","Påbegynt for sent"),IF(NOW()&gt;$N207,"FORFALT","Innen frist")))</f>
        <v/>
      </c>
      <c r="S207">
        <f>IF($B207="","",IF($Q207&lt;&gt;"",IF($Q207&lt;=$O207,"OK","Løst for sent"),IF(NOW()&gt;$O207,"FORFALT","Innen frist")))</f>
        <v/>
      </c>
      <c r="T207" s="10">
        <f>IF(OR($B207="",$Q207=""),"",ROUND(($Q207-$B207)*24,1))</f>
        <v/>
      </c>
    </row>
    <row r="208">
      <c r="A208">
        <f>IF($B208="","","SAK-"&amp;TEXT(ROW()-1,"0000"))</f>
        <v/>
      </c>
      <c r="B208" s="8">
        <f>IF($C208&amp;$H208="","",IF($B208="",NOW(),$B208))</f>
        <v/>
      </c>
      <c r="J208">
        <f>IF($F208="","",IFERROR(VLOOKUP($F208,Oppsett!$E$4:$F$11,2,FALSE),"– ikke tildelt –"))</f>
        <v/>
      </c>
      <c r="L208">
        <f>IF($B208="","",IF($K208&lt;&gt;"",$K208,$J208))</f>
        <v/>
      </c>
      <c r="N208" s="8">
        <f>IF(OR($B208="",$G208=""),"",$B208+VLOOKUP($G208,Oppsett!$H$4:$J$7,2,FALSE)/24)</f>
        <v/>
      </c>
      <c r="O208" s="8">
        <f>IF(OR($B208="",$G208=""),"",$B208+VLOOKUP($G208,Oppsett!$H$4:$J$7,3,FALSE)/24)</f>
        <v/>
      </c>
      <c r="P208" s="8" t="n"/>
      <c r="Q208" s="8" t="n"/>
      <c r="R208">
        <f>IF($B208="","",IF($P208&lt;&gt;"",IF($P208&lt;=$N208,"OK","Påbegynt for sent"),IF(NOW()&gt;$N208,"FORFALT","Innen frist")))</f>
        <v/>
      </c>
      <c r="S208">
        <f>IF($B208="","",IF($Q208&lt;&gt;"",IF($Q208&lt;=$O208,"OK","Løst for sent"),IF(NOW()&gt;$O208,"FORFALT","Innen frist")))</f>
        <v/>
      </c>
      <c r="T208" s="10">
        <f>IF(OR($B208="",$Q208=""),"",ROUND(($Q208-$B208)*24,1))</f>
        <v/>
      </c>
    </row>
    <row r="209">
      <c r="A209">
        <f>IF($B209="","","SAK-"&amp;TEXT(ROW()-1,"0000"))</f>
        <v/>
      </c>
      <c r="B209" s="8">
        <f>IF($C209&amp;$H209="","",IF($B209="",NOW(),$B209))</f>
        <v/>
      </c>
      <c r="J209">
        <f>IF($F209="","",IFERROR(VLOOKUP($F209,Oppsett!$E$4:$F$11,2,FALSE),"– ikke tildelt –"))</f>
        <v/>
      </c>
      <c r="L209">
        <f>IF($B209="","",IF($K209&lt;&gt;"",$K209,$J209))</f>
        <v/>
      </c>
      <c r="N209" s="8">
        <f>IF(OR($B209="",$G209=""),"",$B209+VLOOKUP($G209,Oppsett!$H$4:$J$7,2,FALSE)/24)</f>
        <v/>
      </c>
      <c r="O209" s="8">
        <f>IF(OR($B209="",$G209=""),"",$B209+VLOOKUP($G209,Oppsett!$H$4:$J$7,3,FALSE)/24)</f>
        <v/>
      </c>
      <c r="P209" s="8" t="n"/>
      <c r="Q209" s="8" t="n"/>
      <c r="R209">
        <f>IF($B209="","",IF($P209&lt;&gt;"",IF($P209&lt;=$N209,"OK","Påbegynt for sent"),IF(NOW()&gt;$N209,"FORFALT","Innen frist")))</f>
        <v/>
      </c>
      <c r="S209">
        <f>IF($B209="","",IF($Q209&lt;&gt;"",IF($Q209&lt;=$O209,"OK","Løst for sent"),IF(NOW()&gt;$O209,"FORFALT","Innen frist")))</f>
        <v/>
      </c>
      <c r="T209" s="10">
        <f>IF(OR($B209="",$Q209=""),"",ROUND(($Q209-$B209)*24,1))</f>
        <v/>
      </c>
    </row>
    <row r="210">
      <c r="A210">
        <f>IF($B210="","","SAK-"&amp;TEXT(ROW()-1,"0000"))</f>
        <v/>
      </c>
      <c r="B210" s="8">
        <f>IF($C210&amp;$H210="","",IF($B210="",NOW(),$B210))</f>
        <v/>
      </c>
      <c r="J210">
        <f>IF($F210="","",IFERROR(VLOOKUP($F210,Oppsett!$E$4:$F$11,2,FALSE),"– ikke tildelt –"))</f>
        <v/>
      </c>
      <c r="L210">
        <f>IF($B210="","",IF($K210&lt;&gt;"",$K210,$J210))</f>
        <v/>
      </c>
      <c r="N210" s="8">
        <f>IF(OR($B210="",$G210=""),"",$B210+VLOOKUP($G210,Oppsett!$H$4:$J$7,2,FALSE)/24)</f>
        <v/>
      </c>
      <c r="O210" s="8">
        <f>IF(OR($B210="",$G210=""),"",$B210+VLOOKUP($G210,Oppsett!$H$4:$J$7,3,FALSE)/24)</f>
        <v/>
      </c>
      <c r="P210" s="8" t="n"/>
      <c r="Q210" s="8" t="n"/>
      <c r="R210">
        <f>IF($B210="","",IF($P210&lt;&gt;"",IF($P210&lt;=$N210,"OK","Påbegynt for sent"),IF(NOW()&gt;$N210,"FORFALT","Innen frist")))</f>
        <v/>
      </c>
      <c r="S210">
        <f>IF($B210="","",IF($Q210&lt;&gt;"",IF($Q210&lt;=$O210,"OK","Løst for sent"),IF(NOW()&gt;$O210,"FORFALT","Innen frist")))</f>
        <v/>
      </c>
      <c r="T210" s="10">
        <f>IF(OR($B210="",$Q210=""),"",ROUND(($Q210-$B210)*24,1))</f>
        <v/>
      </c>
    </row>
    <row r="211">
      <c r="A211">
        <f>IF($B211="","","SAK-"&amp;TEXT(ROW()-1,"0000"))</f>
        <v/>
      </c>
      <c r="B211" s="8">
        <f>IF($C211&amp;$H211="","",IF($B211="",NOW(),$B211))</f>
        <v/>
      </c>
      <c r="J211">
        <f>IF($F211="","",IFERROR(VLOOKUP($F211,Oppsett!$E$4:$F$11,2,FALSE),"– ikke tildelt –"))</f>
        <v/>
      </c>
      <c r="L211">
        <f>IF($B211="","",IF($K211&lt;&gt;"",$K211,$J211))</f>
        <v/>
      </c>
      <c r="N211" s="8">
        <f>IF(OR($B211="",$G211=""),"",$B211+VLOOKUP($G211,Oppsett!$H$4:$J$7,2,FALSE)/24)</f>
        <v/>
      </c>
      <c r="O211" s="8">
        <f>IF(OR($B211="",$G211=""),"",$B211+VLOOKUP($G211,Oppsett!$H$4:$J$7,3,FALSE)/24)</f>
        <v/>
      </c>
      <c r="P211" s="8" t="n"/>
      <c r="Q211" s="8" t="n"/>
      <c r="R211">
        <f>IF($B211="","",IF($P211&lt;&gt;"",IF($P211&lt;=$N211,"OK","Påbegynt for sent"),IF(NOW()&gt;$N211,"FORFALT","Innen frist")))</f>
        <v/>
      </c>
      <c r="S211">
        <f>IF($B211="","",IF($Q211&lt;&gt;"",IF($Q211&lt;=$O211,"OK","Løst for sent"),IF(NOW()&gt;$O211,"FORFALT","Innen frist")))</f>
        <v/>
      </c>
      <c r="T211" s="10">
        <f>IF(OR($B211="",$Q211=""),"",ROUND(($Q211-$B211)*24,1))</f>
        <v/>
      </c>
    </row>
    <row r="212">
      <c r="A212">
        <f>IF($B212="","","SAK-"&amp;TEXT(ROW()-1,"0000"))</f>
        <v/>
      </c>
      <c r="B212" s="8">
        <f>IF($C212&amp;$H212="","",IF($B212="",NOW(),$B212))</f>
        <v/>
      </c>
      <c r="J212">
        <f>IF($F212="","",IFERROR(VLOOKUP($F212,Oppsett!$E$4:$F$11,2,FALSE),"– ikke tildelt –"))</f>
        <v/>
      </c>
      <c r="L212">
        <f>IF($B212="","",IF($K212&lt;&gt;"",$K212,$J212))</f>
        <v/>
      </c>
      <c r="N212" s="8">
        <f>IF(OR($B212="",$G212=""),"",$B212+VLOOKUP($G212,Oppsett!$H$4:$J$7,2,FALSE)/24)</f>
        <v/>
      </c>
      <c r="O212" s="8">
        <f>IF(OR($B212="",$G212=""),"",$B212+VLOOKUP($G212,Oppsett!$H$4:$J$7,3,FALSE)/24)</f>
        <v/>
      </c>
      <c r="P212" s="8" t="n"/>
      <c r="Q212" s="8" t="n"/>
      <c r="R212">
        <f>IF($B212="","",IF($P212&lt;&gt;"",IF($P212&lt;=$N212,"OK","Påbegynt for sent"),IF(NOW()&gt;$N212,"FORFALT","Innen frist")))</f>
        <v/>
      </c>
      <c r="S212">
        <f>IF($B212="","",IF($Q212&lt;&gt;"",IF($Q212&lt;=$O212,"OK","Løst for sent"),IF(NOW()&gt;$O212,"FORFALT","Innen frist")))</f>
        <v/>
      </c>
      <c r="T212" s="10">
        <f>IF(OR($B212="",$Q212=""),"",ROUND(($Q212-$B212)*24,1))</f>
        <v/>
      </c>
    </row>
    <row r="213">
      <c r="A213">
        <f>IF($B213="","","SAK-"&amp;TEXT(ROW()-1,"0000"))</f>
        <v/>
      </c>
      <c r="B213" s="8">
        <f>IF($C213&amp;$H213="","",IF($B213="",NOW(),$B213))</f>
        <v/>
      </c>
      <c r="J213">
        <f>IF($F213="","",IFERROR(VLOOKUP($F213,Oppsett!$E$4:$F$11,2,FALSE),"– ikke tildelt –"))</f>
        <v/>
      </c>
      <c r="L213">
        <f>IF($B213="","",IF($K213&lt;&gt;"",$K213,$J213))</f>
        <v/>
      </c>
      <c r="N213" s="8">
        <f>IF(OR($B213="",$G213=""),"",$B213+VLOOKUP($G213,Oppsett!$H$4:$J$7,2,FALSE)/24)</f>
        <v/>
      </c>
      <c r="O213" s="8">
        <f>IF(OR($B213="",$G213=""),"",$B213+VLOOKUP($G213,Oppsett!$H$4:$J$7,3,FALSE)/24)</f>
        <v/>
      </c>
      <c r="P213" s="8" t="n"/>
      <c r="Q213" s="8" t="n"/>
      <c r="R213">
        <f>IF($B213="","",IF($P213&lt;&gt;"",IF($P213&lt;=$N213,"OK","Påbegynt for sent"),IF(NOW()&gt;$N213,"FORFALT","Innen frist")))</f>
        <v/>
      </c>
      <c r="S213">
        <f>IF($B213="","",IF($Q213&lt;&gt;"",IF($Q213&lt;=$O213,"OK","Løst for sent"),IF(NOW()&gt;$O213,"FORFALT","Innen frist")))</f>
        <v/>
      </c>
      <c r="T213" s="10">
        <f>IF(OR($B213="",$Q213=""),"",ROUND(($Q213-$B213)*24,1))</f>
        <v/>
      </c>
    </row>
    <row r="214">
      <c r="A214">
        <f>IF($B214="","","SAK-"&amp;TEXT(ROW()-1,"0000"))</f>
        <v/>
      </c>
      <c r="B214" s="8">
        <f>IF($C214&amp;$H214="","",IF($B214="",NOW(),$B214))</f>
        <v/>
      </c>
      <c r="J214">
        <f>IF($F214="","",IFERROR(VLOOKUP($F214,Oppsett!$E$4:$F$11,2,FALSE),"– ikke tildelt –"))</f>
        <v/>
      </c>
      <c r="L214">
        <f>IF($B214="","",IF($K214&lt;&gt;"",$K214,$J214))</f>
        <v/>
      </c>
      <c r="N214" s="8">
        <f>IF(OR($B214="",$G214=""),"",$B214+VLOOKUP($G214,Oppsett!$H$4:$J$7,2,FALSE)/24)</f>
        <v/>
      </c>
      <c r="O214" s="8">
        <f>IF(OR($B214="",$G214=""),"",$B214+VLOOKUP($G214,Oppsett!$H$4:$J$7,3,FALSE)/24)</f>
        <v/>
      </c>
      <c r="P214" s="8" t="n"/>
      <c r="Q214" s="8" t="n"/>
      <c r="R214">
        <f>IF($B214="","",IF($P214&lt;&gt;"",IF($P214&lt;=$N214,"OK","Påbegynt for sent"),IF(NOW()&gt;$N214,"FORFALT","Innen frist")))</f>
        <v/>
      </c>
      <c r="S214">
        <f>IF($B214="","",IF($Q214&lt;&gt;"",IF($Q214&lt;=$O214,"OK","Løst for sent"),IF(NOW()&gt;$O214,"FORFALT","Innen frist")))</f>
        <v/>
      </c>
      <c r="T214" s="10">
        <f>IF(OR($B214="",$Q214=""),"",ROUND(($Q214-$B214)*24,1))</f>
        <v/>
      </c>
    </row>
    <row r="215">
      <c r="A215">
        <f>IF($B215="","","SAK-"&amp;TEXT(ROW()-1,"0000"))</f>
        <v/>
      </c>
      <c r="B215" s="8">
        <f>IF($C215&amp;$H215="","",IF($B215="",NOW(),$B215))</f>
        <v/>
      </c>
      <c r="J215">
        <f>IF($F215="","",IFERROR(VLOOKUP($F215,Oppsett!$E$4:$F$11,2,FALSE),"– ikke tildelt –"))</f>
        <v/>
      </c>
      <c r="L215">
        <f>IF($B215="","",IF($K215&lt;&gt;"",$K215,$J215))</f>
        <v/>
      </c>
      <c r="N215" s="8">
        <f>IF(OR($B215="",$G215=""),"",$B215+VLOOKUP($G215,Oppsett!$H$4:$J$7,2,FALSE)/24)</f>
        <v/>
      </c>
      <c r="O215" s="8">
        <f>IF(OR($B215="",$G215=""),"",$B215+VLOOKUP($G215,Oppsett!$H$4:$J$7,3,FALSE)/24)</f>
        <v/>
      </c>
      <c r="P215" s="8" t="n"/>
      <c r="Q215" s="8" t="n"/>
      <c r="R215">
        <f>IF($B215="","",IF($P215&lt;&gt;"",IF($P215&lt;=$N215,"OK","Påbegynt for sent"),IF(NOW()&gt;$N215,"FORFALT","Innen frist")))</f>
        <v/>
      </c>
      <c r="S215">
        <f>IF($B215="","",IF($Q215&lt;&gt;"",IF($Q215&lt;=$O215,"OK","Løst for sent"),IF(NOW()&gt;$O215,"FORFALT","Innen frist")))</f>
        <v/>
      </c>
      <c r="T215" s="10">
        <f>IF(OR($B215="",$Q215=""),"",ROUND(($Q215-$B215)*24,1))</f>
        <v/>
      </c>
    </row>
    <row r="216">
      <c r="A216">
        <f>IF($B216="","","SAK-"&amp;TEXT(ROW()-1,"0000"))</f>
        <v/>
      </c>
      <c r="B216" s="8">
        <f>IF($C216&amp;$H216="","",IF($B216="",NOW(),$B216))</f>
        <v/>
      </c>
      <c r="J216">
        <f>IF($F216="","",IFERROR(VLOOKUP($F216,Oppsett!$E$4:$F$11,2,FALSE),"– ikke tildelt –"))</f>
        <v/>
      </c>
      <c r="L216">
        <f>IF($B216="","",IF($K216&lt;&gt;"",$K216,$J216))</f>
        <v/>
      </c>
      <c r="N216" s="8">
        <f>IF(OR($B216="",$G216=""),"",$B216+VLOOKUP($G216,Oppsett!$H$4:$J$7,2,FALSE)/24)</f>
        <v/>
      </c>
      <c r="O216" s="8">
        <f>IF(OR($B216="",$G216=""),"",$B216+VLOOKUP($G216,Oppsett!$H$4:$J$7,3,FALSE)/24)</f>
        <v/>
      </c>
      <c r="P216" s="8" t="n"/>
      <c r="Q216" s="8" t="n"/>
      <c r="R216">
        <f>IF($B216="","",IF($P216&lt;&gt;"",IF($P216&lt;=$N216,"OK","Påbegynt for sent"),IF(NOW()&gt;$N216,"FORFALT","Innen frist")))</f>
        <v/>
      </c>
      <c r="S216">
        <f>IF($B216="","",IF($Q216&lt;&gt;"",IF($Q216&lt;=$O216,"OK","Løst for sent"),IF(NOW()&gt;$O216,"FORFALT","Innen frist")))</f>
        <v/>
      </c>
      <c r="T216" s="10">
        <f>IF(OR($B216="",$Q216=""),"",ROUND(($Q216-$B216)*24,1))</f>
        <v/>
      </c>
    </row>
    <row r="217">
      <c r="A217">
        <f>IF($B217="","","SAK-"&amp;TEXT(ROW()-1,"0000"))</f>
        <v/>
      </c>
      <c r="B217" s="8">
        <f>IF($C217&amp;$H217="","",IF($B217="",NOW(),$B217))</f>
        <v/>
      </c>
      <c r="J217">
        <f>IF($F217="","",IFERROR(VLOOKUP($F217,Oppsett!$E$4:$F$11,2,FALSE),"– ikke tildelt –"))</f>
        <v/>
      </c>
      <c r="L217">
        <f>IF($B217="","",IF($K217&lt;&gt;"",$K217,$J217))</f>
        <v/>
      </c>
      <c r="N217" s="8">
        <f>IF(OR($B217="",$G217=""),"",$B217+VLOOKUP($G217,Oppsett!$H$4:$J$7,2,FALSE)/24)</f>
        <v/>
      </c>
      <c r="O217" s="8">
        <f>IF(OR($B217="",$G217=""),"",$B217+VLOOKUP($G217,Oppsett!$H$4:$J$7,3,FALSE)/24)</f>
        <v/>
      </c>
      <c r="P217" s="8" t="n"/>
      <c r="Q217" s="8" t="n"/>
      <c r="R217">
        <f>IF($B217="","",IF($P217&lt;&gt;"",IF($P217&lt;=$N217,"OK","Påbegynt for sent"),IF(NOW()&gt;$N217,"FORFALT","Innen frist")))</f>
        <v/>
      </c>
      <c r="S217">
        <f>IF($B217="","",IF($Q217&lt;&gt;"",IF($Q217&lt;=$O217,"OK","Løst for sent"),IF(NOW()&gt;$O217,"FORFALT","Innen frist")))</f>
        <v/>
      </c>
      <c r="T217" s="10">
        <f>IF(OR($B217="",$Q217=""),"",ROUND(($Q217-$B217)*24,1))</f>
        <v/>
      </c>
    </row>
    <row r="218">
      <c r="A218">
        <f>IF($B218="","","SAK-"&amp;TEXT(ROW()-1,"0000"))</f>
        <v/>
      </c>
      <c r="B218" s="8">
        <f>IF($C218&amp;$H218="","",IF($B218="",NOW(),$B218))</f>
        <v/>
      </c>
      <c r="J218">
        <f>IF($F218="","",IFERROR(VLOOKUP($F218,Oppsett!$E$4:$F$11,2,FALSE),"– ikke tildelt –"))</f>
        <v/>
      </c>
      <c r="L218">
        <f>IF($B218="","",IF($K218&lt;&gt;"",$K218,$J218))</f>
        <v/>
      </c>
      <c r="N218" s="8">
        <f>IF(OR($B218="",$G218=""),"",$B218+VLOOKUP($G218,Oppsett!$H$4:$J$7,2,FALSE)/24)</f>
        <v/>
      </c>
      <c r="O218" s="8">
        <f>IF(OR($B218="",$G218=""),"",$B218+VLOOKUP($G218,Oppsett!$H$4:$J$7,3,FALSE)/24)</f>
        <v/>
      </c>
      <c r="P218" s="8" t="n"/>
      <c r="Q218" s="8" t="n"/>
      <c r="R218">
        <f>IF($B218="","",IF($P218&lt;&gt;"",IF($P218&lt;=$N218,"OK","Påbegynt for sent"),IF(NOW()&gt;$N218,"FORFALT","Innen frist")))</f>
        <v/>
      </c>
      <c r="S218">
        <f>IF($B218="","",IF($Q218&lt;&gt;"",IF($Q218&lt;=$O218,"OK","Løst for sent"),IF(NOW()&gt;$O218,"FORFALT","Innen frist")))</f>
        <v/>
      </c>
      <c r="T218" s="10">
        <f>IF(OR($B218="",$Q218=""),"",ROUND(($Q218-$B218)*24,1))</f>
        <v/>
      </c>
    </row>
    <row r="219">
      <c r="A219">
        <f>IF($B219="","","SAK-"&amp;TEXT(ROW()-1,"0000"))</f>
        <v/>
      </c>
      <c r="B219" s="8">
        <f>IF($C219&amp;$H219="","",IF($B219="",NOW(),$B219))</f>
        <v/>
      </c>
      <c r="J219">
        <f>IF($F219="","",IFERROR(VLOOKUP($F219,Oppsett!$E$4:$F$11,2,FALSE),"– ikke tildelt –"))</f>
        <v/>
      </c>
      <c r="L219">
        <f>IF($B219="","",IF($K219&lt;&gt;"",$K219,$J219))</f>
        <v/>
      </c>
      <c r="N219" s="8">
        <f>IF(OR($B219="",$G219=""),"",$B219+VLOOKUP($G219,Oppsett!$H$4:$J$7,2,FALSE)/24)</f>
        <v/>
      </c>
      <c r="O219" s="8">
        <f>IF(OR($B219="",$G219=""),"",$B219+VLOOKUP($G219,Oppsett!$H$4:$J$7,3,FALSE)/24)</f>
        <v/>
      </c>
      <c r="P219" s="8" t="n"/>
      <c r="Q219" s="8" t="n"/>
      <c r="R219">
        <f>IF($B219="","",IF($P219&lt;&gt;"",IF($P219&lt;=$N219,"OK","Påbegynt for sent"),IF(NOW()&gt;$N219,"FORFALT","Innen frist")))</f>
        <v/>
      </c>
      <c r="S219">
        <f>IF($B219="","",IF($Q219&lt;&gt;"",IF($Q219&lt;=$O219,"OK","Løst for sent"),IF(NOW()&gt;$O219,"FORFALT","Innen frist")))</f>
        <v/>
      </c>
      <c r="T219" s="10">
        <f>IF(OR($B219="",$Q219=""),"",ROUND(($Q219-$B219)*24,1))</f>
        <v/>
      </c>
    </row>
    <row r="220">
      <c r="A220">
        <f>IF($B220="","","SAK-"&amp;TEXT(ROW()-1,"0000"))</f>
        <v/>
      </c>
      <c r="B220" s="8">
        <f>IF($C220&amp;$H220="","",IF($B220="",NOW(),$B220))</f>
        <v/>
      </c>
      <c r="J220">
        <f>IF($F220="","",IFERROR(VLOOKUP($F220,Oppsett!$E$4:$F$11,2,FALSE),"– ikke tildelt –"))</f>
        <v/>
      </c>
      <c r="L220">
        <f>IF($B220="","",IF($K220&lt;&gt;"",$K220,$J220))</f>
        <v/>
      </c>
      <c r="N220" s="8">
        <f>IF(OR($B220="",$G220=""),"",$B220+VLOOKUP($G220,Oppsett!$H$4:$J$7,2,FALSE)/24)</f>
        <v/>
      </c>
      <c r="O220" s="8">
        <f>IF(OR($B220="",$G220=""),"",$B220+VLOOKUP($G220,Oppsett!$H$4:$J$7,3,FALSE)/24)</f>
        <v/>
      </c>
      <c r="P220" s="8" t="n"/>
      <c r="Q220" s="8" t="n"/>
      <c r="R220">
        <f>IF($B220="","",IF($P220&lt;&gt;"",IF($P220&lt;=$N220,"OK","Påbegynt for sent"),IF(NOW()&gt;$N220,"FORFALT","Innen frist")))</f>
        <v/>
      </c>
      <c r="S220">
        <f>IF($B220="","",IF($Q220&lt;&gt;"",IF($Q220&lt;=$O220,"OK","Løst for sent"),IF(NOW()&gt;$O220,"FORFALT","Innen frist")))</f>
        <v/>
      </c>
      <c r="T220" s="10">
        <f>IF(OR($B220="",$Q220=""),"",ROUND(($Q220-$B220)*24,1))</f>
        <v/>
      </c>
    </row>
    <row r="221">
      <c r="A221">
        <f>IF($B221="","","SAK-"&amp;TEXT(ROW()-1,"0000"))</f>
        <v/>
      </c>
      <c r="B221" s="8">
        <f>IF($C221&amp;$H221="","",IF($B221="",NOW(),$B221))</f>
        <v/>
      </c>
      <c r="J221">
        <f>IF($F221="","",IFERROR(VLOOKUP($F221,Oppsett!$E$4:$F$11,2,FALSE),"– ikke tildelt –"))</f>
        <v/>
      </c>
      <c r="L221">
        <f>IF($B221="","",IF($K221&lt;&gt;"",$K221,$J221))</f>
        <v/>
      </c>
      <c r="N221" s="8">
        <f>IF(OR($B221="",$G221=""),"",$B221+VLOOKUP($G221,Oppsett!$H$4:$J$7,2,FALSE)/24)</f>
        <v/>
      </c>
      <c r="O221" s="8">
        <f>IF(OR($B221="",$G221=""),"",$B221+VLOOKUP($G221,Oppsett!$H$4:$J$7,3,FALSE)/24)</f>
        <v/>
      </c>
      <c r="P221" s="8" t="n"/>
      <c r="Q221" s="8" t="n"/>
      <c r="R221">
        <f>IF($B221="","",IF($P221&lt;&gt;"",IF($P221&lt;=$N221,"OK","Påbegynt for sent"),IF(NOW()&gt;$N221,"FORFALT","Innen frist")))</f>
        <v/>
      </c>
      <c r="S221">
        <f>IF($B221="","",IF($Q221&lt;&gt;"",IF($Q221&lt;=$O221,"OK","Løst for sent"),IF(NOW()&gt;$O221,"FORFALT","Innen frist")))</f>
        <v/>
      </c>
      <c r="T221" s="10">
        <f>IF(OR($B221="",$Q221=""),"",ROUND(($Q221-$B221)*24,1))</f>
        <v/>
      </c>
    </row>
    <row r="222">
      <c r="A222">
        <f>IF($B222="","","SAK-"&amp;TEXT(ROW()-1,"0000"))</f>
        <v/>
      </c>
      <c r="B222" s="8">
        <f>IF($C222&amp;$H222="","",IF($B222="",NOW(),$B222))</f>
        <v/>
      </c>
      <c r="J222">
        <f>IF($F222="","",IFERROR(VLOOKUP($F222,Oppsett!$E$4:$F$11,2,FALSE),"– ikke tildelt –"))</f>
        <v/>
      </c>
      <c r="L222">
        <f>IF($B222="","",IF($K222&lt;&gt;"",$K222,$J222))</f>
        <v/>
      </c>
      <c r="N222" s="8">
        <f>IF(OR($B222="",$G222=""),"",$B222+VLOOKUP($G222,Oppsett!$H$4:$J$7,2,FALSE)/24)</f>
        <v/>
      </c>
      <c r="O222" s="8">
        <f>IF(OR($B222="",$G222=""),"",$B222+VLOOKUP($G222,Oppsett!$H$4:$J$7,3,FALSE)/24)</f>
        <v/>
      </c>
      <c r="P222" s="8" t="n"/>
      <c r="Q222" s="8" t="n"/>
      <c r="R222">
        <f>IF($B222="","",IF($P222&lt;&gt;"",IF($P222&lt;=$N222,"OK","Påbegynt for sent"),IF(NOW()&gt;$N222,"FORFALT","Innen frist")))</f>
        <v/>
      </c>
      <c r="S222">
        <f>IF($B222="","",IF($Q222&lt;&gt;"",IF($Q222&lt;=$O222,"OK","Løst for sent"),IF(NOW()&gt;$O222,"FORFALT","Innen frist")))</f>
        <v/>
      </c>
      <c r="T222" s="10">
        <f>IF(OR($B222="",$Q222=""),"",ROUND(($Q222-$B222)*24,1))</f>
        <v/>
      </c>
    </row>
    <row r="223">
      <c r="A223">
        <f>IF($B223="","","SAK-"&amp;TEXT(ROW()-1,"0000"))</f>
        <v/>
      </c>
      <c r="B223" s="8">
        <f>IF($C223&amp;$H223="","",IF($B223="",NOW(),$B223))</f>
        <v/>
      </c>
      <c r="J223">
        <f>IF($F223="","",IFERROR(VLOOKUP($F223,Oppsett!$E$4:$F$11,2,FALSE),"– ikke tildelt –"))</f>
        <v/>
      </c>
      <c r="L223">
        <f>IF($B223="","",IF($K223&lt;&gt;"",$K223,$J223))</f>
        <v/>
      </c>
      <c r="N223" s="8">
        <f>IF(OR($B223="",$G223=""),"",$B223+VLOOKUP($G223,Oppsett!$H$4:$J$7,2,FALSE)/24)</f>
        <v/>
      </c>
      <c r="O223" s="8">
        <f>IF(OR($B223="",$G223=""),"",$B223+VLOOKUP($G223,Oppsett!$H$4:$J$7,3,FALSE)/24)</f>
        <v/>
      </c>
      <c r="P223" s="8" t="n"/>
      <c r="Q223" s="8" t="n"/>
      <c r="R223">
        <f>IF($B223="","",IF($P223&lt;&gt;"",IF($P223&lt;=$N223,"OK","Påbegynt for sent"),IF(NOW()&gt;$N223,"FORFALT","Innen frist")))</f>
        <v/>
      </c>
      <c r="S223">
        <f>IF($B223="","",IF($Q223&lt;&gt;"",IF($Q223&lt;=$O223,"OK","Løst for sent"),IF(NOW()&gt;$O223,"FORFALT","Innen frist")))</f>
        <v/>
      </c>
      <c r="T223" s="10">
        <f>IF(OR($B223="",$Q223=""),"",ROUND(($Q223-$B223)*24,1))</f>
        <v/>
      </c>
    </row>
    <row r="224">
      <c r="A224">
        <f>IF($B224="","","SAK-"&amp;TEXT(ROW()-1,"0000"))</f>
        <v/>
      </c>
      <c r="B224" s="8">
        <f>IF($C224&amp;$H224="","",IF($B224="",NOW(),$B224))</f>
        <v/>
      </c>
      <c r="J224">
        <f>IF($F224="","",IFERROR(VLOOKUP($F224,Oppsett!$E$4:$F$11,2,FALSE),"– ikke tildelt –"))</f>
        <v/>
      </c>
      <c r="L224">
        <f>IF($B224="","",IF($K224&lt;&gt;"",$K224,$J224))</f>
        <v/>
      </c>
      <c r="N224" s="8">
        <f>IF(OR($B224="",$G224=""),"",$B224+VLOOKUP($G224,Oppsett!$H$4:$J$7,2,FALSE)/24)</f>
        <v/>
      </c>
      <c r="O224" s="8">
        <f>IF(OR($B224="",$G224=""),"",$B224+VLOOKUP($G224,Oppsett!$H$4:$J$7,3,FALSE)/24)</f>
        <v/>
      </c>
      <c r="P224" s="8" t="n"/>
      <c r="Q224" s="8" t="n"/>
      <c r="R224">
        <f>IF($B224="","",IF($P224&lt;&gt;"",IF($P224&lt;=$N224,"OK","Påbegynt for sent"),IF(NOW()&gt;$N224,"FORFALT","Innen frist")))</f>
        <v/>
      </c>
      <c r="S224">
        <f>IF($B224="","",IF($Q224&lt;&gt;"",IF($Q224&lt;=$O224,"OK","Løst for sent"),IF(NOW()&gt;$O224,"FORFALT","Innen frist")))</f>
        <v/>
      </c>
      <c r="T224" s="10">
        <f>IF(OR($B224="",$Q224=""),"",ROUND(($Q224-$B224)*24,1))</f>
        <v/>
      </c>
    </row>
    <row r="225">
      <c r="A225">
        <f>IF($B225="","","SAK-"&amp;TEXT(ROW()-1,"0000"))</f>
        <v/>
      </c>
      <c r="B225" s="8">
        <f>IF($C225&amp;$H225="","",IF($B225="",NOW(),$B225))</f>
        <v/>
      </c>
      <c r="J225">
        <f>IF($F225="","",IFERROR(VLOOKUP($F225,Oppsett!$E$4:$F$11,2,FALSE),"– ikke tildelt –"))</f>
        <v/>
      </c>
      <c r="L225">
        <f>IF($B225="","",IF($K225&lt;&gt;"",$K225,$J225))</f>
        <v/>
      </c>
      <c r="N225" s="8">
        <f>IF(OR($B225="",$G225=""),"",$B225+VLOOKUP($G225,Oppsett!$H$4:$J$7,2,FALSE)/24)</f>
        <v/>
      </c>
      <c r="O225" s="8">
        <f>IF(OR($B225="",$G225=""),"",$B225+VLOOKUP($G225,Oppsett!$H$4:$J$7,3,FALSE)/24)</f>
        <v/>
      </c>
      <c r="P225" s="8" t="n"/>
      <c r="Q225" s="8" t="n"/>
      <c r="R225">
        <f>IF($B225="","",IF($P225&lt;&gt;"",IF($P225&lt;=$N225,"OK","Påbegynt for sent"),IF(NOW()&gt;$N225,"FORFALT","Innen frist")))</f>
        <v/>
      </c>
      <c r="S225">
        <f>IF($B225="","",IF($Q225&lt;&gt;"",IF($Q225&lt;=$O225,"OK","Løst for sent"),IF(NOW()&gt;$O225,"FORFALT","Innen frist")))</f>
        <v/>
      </c>
      <c r="T225" s="10">
        <f>IF(OR($B225="",$Q225=""),"",ROUND(($Q225-$B225)*24,1))</f>
        <v/>
      </c>
    </row>
    <row r="226">
      <c r="A226">
        <f>IF($B226="","","SAK-"&amp;TEXT(ROW()-1,"0000"))</f>
        <v/>
      </c>
      <c r="B226" s="8">
        <f>IF($C226&amp;$H226="","",IF($B226="",NOW(),$B226))</f>
        <v/>
      </c>
      <c r="J226">
        <f>IF($F226="","",IFERROR(VLOOKUP($F226,Oppsett!$E$4:$F$11,2,FALSE),"– ikke tildelt –"))</f>
        <v/>
      </c>
      <c r="L226">
        <f>IF($B226="","",IF($K226&lt;&gt;"",$K226,$J226))</f>
        <v/>
      </c>
      <c r="N226" s="8">
        <f>IF(OR($B226="",$G226=""),"",$B226+VLOOKUP($G226,Oppsett!$H$4:$J$7,2,FALSE)/24)</f>
        <v/>
      </c>
      <c r="O226" s="8">
        <f>IF(OR($B226="",$G226=""),"",$B226+VLOOKUP($G226,Oppsett!$H$4:$J$7,3,FALSE)/24)</f>
        <v/>
      </c>
      <c r="P226" s="8" t="n"/>
      <c r="Q226" s="8" t="n"/>
      <c r="R226">
        <f>IF($B226="","",IF($P226&lt;&gt;"",IF($P226&lt;=$N226,"OK","Påbegynt for sent"),IF(NOW()&gt;$N226,"FORFALT","Innen frist")))</f>
        <v/>
      </c>
      <c r="S226">
        <f>IF($B226="","",IF($Q226&lt;&gt;"",IF($Q226&lt;=$O226,"OK","Løst for sent"),IF(NOW()&gt;$O226,"FORFALT","Innen frist")))</f>
        <v/>
      </c>
      <c r="T226" s="10">
        <f>IF(OR($B226="",$Q226=""),"",ROUND(($Q226-$B226)*24,1))</f>
        <v/>
      </c>
    </row>
    <row r="227">
      <c r="A227">
        <f>IF($B227="","","SAK-"&amp;TEXT(ROW()-1,"0000"))</f>
        <v/>
      </c>
      <c r="B227" s="8">
        <f>IF($C227&amp;$H227="","",IF($B227="",NOW(),$B227))</f>
        <v/>
      </c>
      <c r="J227">
        <f>IF($F227="","",IFERROR(VLOOKUP($F227,Oppsett!$E$4:$F$11,2,FALSE),"– ikke tildelt –"))</f>
        <v/>
      </c>
      <c r="L227">
        <f>IF($B227="","",IF($K227&lt;&gt;"",$K227,$J227))</f>
        <v/>
      </c>
      <c r="N227" s="8">
        <f>IF(OR($B227="",$G227=""),"",$B227+VLOOKUP($G227,Oppsett!$H$4:$J$7,2,FALSE)/24)</f>
        <v/>
      </c>
      <c r="O227" s="8">
        <f>IF(OR($B227="",$G227=""),"",$B227+VLOOKUP($G227,Oppsett!$H$4:$J$7,3,FALSE)/24)</f>
        <v/>
      </c>
      <c r="P227" s="8" t="n"/>
      <c r="Q227" s="8" t="n"/>
      <c r="R227">
        <f>IF($B227="","",IF($P227&lt;&gt;"",IF($P227&lt;=$N227,"OK","Påbegynt for sent"),IF(NOW()&gt;$N227,"FORFALT","Innen frist")))</f>
        <v/>
      </c>
      <c r="S227">
        <f>IF($B227="","",IF($Q227&lt;&gt;"",IF($Q227&lt;=$O227,"OK","Løst for sent"),IF(NOW()&gt;$O227,"FORFALT","Innen frist")))</f>
        <v/>
      </c>
      <c r="T227" s="10">
        <f>IF(OR($B227="",$Q227=""),"",ROUND(($Q227-$B227)*24,1))</f>
        <v/>
      </c>
    </row>
    <row r="228">
      <c r="A228">
        <f>IF($B228="","","SAK-"&amp;TEXT(ROW()-1,"0000"))</f>
        <v/>
      </c>
      <c r="B228" s="8">
        <f>IF($C228&amp;$H228="","",IF($B228="",NOW(),$B228))</f>
        <v/>
      </c>
      <c r="J228">
        <f>IF($F228="","",IFERROR(VLOOKUP($F228,Oppsett!$E$4:$F$11,2,FALSE),"– ikke tildelt –"))</f>
        <v/>
      </c>
      <c r="L228">
        <f>IF($B228="","",IF($K228&lt;&gt;"",$K228,$J228))</f>
        <v/>
      </c>
      <c r="N228" s="8">
        <f>IF(OR($B228="",$G228=""),"",$B228+VLOOKUP($G228,Oppsett!$H$4:$J$7,2,FALSE)/24)</f>
        <v/>
      </c>
      <c r="O228" s="8">
        <f>IF(OR($B228="",$G228=""),"",$B228+VLOOKUP($G228,Oppsett!$H$4:$J$7,3,FALSE)/24)</f>
        <v/>
      </c>
      <c r="P228" s="8" t="n"/>
      <c r="Q228" s="8" t="n"/>
      <c r="R228">
        <f>IF($B228="","",IF($P228&lt;&gt;"",IF($P228&lt;=$N228,"OK","Påbegynt for sent"),IF(NOW()&gt;$N228,"FORFALT","Innen frist")))</f>
        <v/>
      </c>
      <c r="S228">
        <f>IF($B228="","",IF($Q228&lt;&gt;"",IF($Q228&lt;=$O228,"OK","Løst for sent"),IF(NOW()&gt;$O228,"FORFALT","Innen frist")))</f>
        <v/>
      </c>
      <c r="T228" s="10">
        <f>IF(OR($B228="",$Q228=""),"",ROUND(($Q228-$B228)*24,1))</f>
        <v/>
      </c>
    </row>
    <row r="229">
      <c r="A229">
        <f>IF($B229="","","SAK-"&amp;TEXT(ROW()-1,"0000"))</f>
        <v/>
      </c>
      <c r="B229" s="8">
        <f>IF($C229&amp;$H229="","",IF($B229="",NOW(),$B229))</f>
        <v/>
      </c>
      <c r="J229">
        <f>IF($F229="","",IFERROR(VLOOKUP($F229,Oppsett!$E$4:$F$11,2,FALSE),"– ikke tildelt –"))</f>
        <v/>
      </c>
      <c r="L229">
        <f>IF($B229="","",IF($K229&lt;&gt;"",$K229,$J229))</f>
        <v/>
      </c>
      <c r="N229" s="8">
        <f>IF(OR($B229="",$G229=""),"",$B229+VLOOKUP($G229,Oppsett!$H$4:$J$7,2,FALSE)/24)</f>
        <v/>
      </c>
      <c r="O229" s="8">
        <f>IF(OR($B229="",$G229=""),"",$B229+VLOOKUP($G229,Oppsett!$H$4:$J$7,3,FALSE)/24)</f>
        <v/>
      </c>
      <c r="P229" s="8" t="n"/>
      <c r="Q229" s="8" t="n"/>
      <c r="R229">
        <f>IF($B229="","",IF($P229&lt;&gt;"",IF($P229&lt;=$N229,"OK","Påbegynt for sent"),IF(NOW()&gt;$N229,"FORFALT","Innen frist")))</f>
        <v/>
      </c>
      <c r="S229">
        <f>IF($B229="","",IF($Q229&lt;&gt;"",IF($Q229&lt;=$O229,"OK","Løst for sent"),IF(NOW()&gt;$O229,"FORFALT","Innen frist")))</f>
        <v/>
      </c>
      <c r="T229" s="10">
        <f>IF(OR($B229="",$Q229=""),"",ROUND(($Q229-$B229)*24,1))</f>
        <v/>
      </c>
    </row>
    <row r="230">
      <c r="A230">
        <f>IF($B230="","","SAK-"&amp;TEXT(ROW()-1,"0000"))</f>
        <v/>
      </c>
      <c r="B230" s="8">
        <f>IF($C230&amp;$H230="","",IF($B230="",NOW(),$B230))</f>
        <v/>
      </c>
      <c r="J230">
        <f>IF($F230="","",IFERROR(VLOOKUP($F230,Oppsett!$E$4:$F$11,2,FALSE),"– ikke tildelt –"))</f>
        <v/>
      </c>
      <c r="L230">
        <f>IF($B230="","",IF($K230&lt;&gt;"",$K230,$J230))</f>
        <v/>
      </c>
      <c r="N230" s="8">
        <f>IF(OR($B230="",$G230=""),"",$B230+VLOOKUP($G230,Oppsett!$H$4:$J$7,2,FALSE)/24)</f>
        <v/>
      </c>
      <c r="O230" s="8">
        <f>IF(OR($B230="",$G230=""),"",$B230+VLOOKUP($G230,Oppsett!$H$4:$J$7,3,FALSE)/24)</f>
        <v/>
      </c>
      <c r="P230" s="8" t="n"/>
      <c r="Q230" s="8" t="n"/>
      <c r="R230">
        <f>IF($B230="","",IF($P230&lt;&gt;"",IF($P230&lt;=$N230,"OK","Påbegynt for sent"),IF(NOW()&gt;$N230,"FORFALT","Innen frist")))</f>
        <v/>
      </c>
      <c r="S230">
        <f>IF($B230="","",IF($Q230&lt;&gt;"",IF($Q230&lt;=$O230,"OK","Løst for sent"),IF(NOW()&gt;$O230,"FORFALT","Innen frist")))</f>
        <v/>
      </c>
      <c r="T230" s="10">
        <f>IF(OR($B230="",$Q230=""),"",ROUND(($Q230-$B230)*24,1))</f>
        <v/>
      </c>
    </row>
    <row r="231">
      <c r="A231">
        <f>IF($B231="","","SAK-"&amp;TEXT(ROW()-1,"0000"))</f>
        <v/>
      </c>
      <c r="B231" s="8">
        <f>IF($C231&amp;$H231="","",IF($B231="",NOW(),$B231))</f>
        <v/>
      </c>
      <c r="J231">
        <f>IF($F231="","",IFERROR(VLOOKUP($F231,Oppsett!$E$4:$F$11,2,FALSE),"– ikke tildelt –"))</f>
        <v/>
      </c>
      <c r="L231">
        <f>IF($B231="","",IF($K231&lt;&gt;"",$K231,$J231))</f>
        <v/>
      </c>
      <c r="N231" s="8">
        <f>IF(OR($B231="",$G231=""),"",$B231+VLOOKUP($G231,Oppsett!$H$4:$J$7,2,FALSE)/24)</f>
        <v/>
      </c>
      <c r="O231" s="8">
        <f>IF(OR($B231="",$G231=""),"",$B231+VLOOKUP($G231,Oppsett!$H$4:$J$7,3,FALSE)/24)</f>
        <v/>
      </c>
      <c r="P231" s="8" t="n"/>
      <c r="Q231" s="8" t="n"/>
      <c r="R231">
        <f>IF($B231="","",IF($P231&lt;&gt;"",IF($P231&lt;=$N231,"OK","Påbegynt for sent"),IF(NOW()&gt;$N231,"FORFALT","Innen frist")))</f>
        <v/>
      </c>
      <c r="S231">
        <f>IF($B231="","",IF($Q231&lt;&gt;"",IF($Q231&lt;=$O231,"OK","Løst for sent"),IF(NOW()&gt;$O231,"FORFALT","Innen frist")))</f>
        <v/>
      </c>
      <c r="T231" s="10">
        <f>IF(OR($B231="",$Q231=""),"",ROUND(($Q231-$B231)*24,1))</f>
        <v/>
      </c>
    </row>
    <row r="232">
      <c r="A232">
        <f>IF($B232="","","SAK-"&amp;TEXT(ROW()-1,"0000"))</f>
        <v/>
      </c>
      <c r="B232" s="8">
        <f>IF($C232&amp;$H232="","",IF($B232="",NOW(),$B232))</f>
        <v/>
      </c>
      <c r="J232">
        <f>IF($F232="","",IFERROR(VLOOKUP($F232,Oppsett!$E$4:$F$11,2,FALSE),"– ikke tildelt –"))</f>
        <v/>
      </c>
      <c r="L232">
        <f>IF($B232="","",IF($K232&lt;&gt;"",$K232,$J232))</f>
        <v/>
      </c>
      <c r="N232" s="8">
        <f>IF(OR($B232="",$G232=""),"",$B232+VLOOKUP($G232,Oppsett!$H$4:$J$7,2,FALSE)/24)</f>
        <v/>
      </c>
      <c r="O232" s="8">
        <f>IF(OR($B232="",$G232=""),"",$B232+VLOOKUP($G232,Oppsett!$H$4:$J$7,3,FALSE)/24)</f>
        <v/>
      </c>
      <c r="P232" s="8" t="n"/>
      <c r="Q232" s="8" t="n"/>
      <c r="R232">
        <f>IF($B232="","",IF($P232&lt;&gt;"",IF($P232&lt;=$N232,"OK","Påbegynt for sent"),IF(NOW()&gt;$N232,"FORFALT","Innen frist")))</f>
        <v/>
      </c>
      <c r="S232">
        <f>IF($B232="","",IF($Q232&lt;&gt;"",IF($Q232&lt;=$O232,"OK","Løst for sent"),IF(NOW()&gt;$O232,"FORFALT","Innen frist")))</f>
        <v/>
      </c>
      <c r="T232" s="10">
        <f>IF(OR($B232="",$Q232=""),"",ROUND(($Q232-$B232)*24,1))</f>
        <v/>
      </c>
    </row>
    <row r="233">
      <c r="A233">
        <f>IF($B233="","","SAK-"&amp;TEXT(ROW()-1,"0000"))</f>
        <v/>
      </c>
      <c r="B233" s="8">
        <f>IF($C233&amp;$H233="","",IF($B233="",NOW(),$B233))</f>
        <v/>
      </c>
      <c r="J233">
        <f>IF($F233="","",IFERROR(VLOOKUP($F233,Oppsett!$E$4:$F$11,2,FALSE),"– ikke tildelt –"))</f>
        <v/>
      </c>
      <c r="L233">
        <f>IF($B233="","",IF($K233&lt;&gt;"",$K233,$J233))</f>
        <v/>
      </c>
      <c r="N233" s="8">
        <f>IF(OR($B233="",$G233=""),"",$B233+VLOOKUP($G233,Oppsett!$H$4:$J$7,2,FALSE)/24)</f>
        <v/>
      </c>
      <c r="O233" s="8">
        <f>IF(OR($B233="",$G233=""),"",$B233+VLOOKUP($G233,Oppsett!$H$4:$J$7,3,FALSE)/24)</f>
        <v/>
      </c>
      <c r="P233" s="8" t="n"/>
      <c r="Q233" s="8" t="n"/>
      <c r="R233">
        <f>IF($B233="","",IF($P233&lt;&gt;"",IF($P233&lt;=$N233,"OK","Påbegynt for sent"),IF(NOW()&gt;$N233,"FORFALT","Innen frist")))</f>
        <v/>
      </c>
      <c r="S233">
        <f>IF($B233="","",IF($Q233&lt;&gt;"",IF($Q233&lt;=$O233,"OK","Løst for sent"),IF(NOW()&gt;$O233,"FORFALT","Innen frist")))</f>
        <v/>
      </c>
      <c r="T233" s="10">
        <f>IF(OR($B233="",$Q233=""),"",ROUND(($Q233-$B233)*24,1))</f>
        <v/>
      </c>
    </row>
    <row r="234">
      <c r="A234">
        <f>IF($B234="","","SAK-"&amp;TEXT(ROW()-1,"0000"))</f>
        <v/>
      </c>
      <c r="B234" s="8">
        <f>IF($C234&amp;$H234="","",IF($B234="",NOW(),$B234))</f>
        <v/>
      </c>
      <c r="J234">
        <f>IF($F234="","",IFERROR(VLOOKUP($F234,Oppsett!$E$4:$F$11,2,FALSE),"– ikke tildelt –"))</f>
        <v/>
      </c>
      <c r="L234">
        <f>IF($B234="","",IF($K234&lt;&gt;"",$K234,$J234))</f>
        <v/>
      </c>
      <c r="N234" s="8">
        <f>IF(OR($B234="",$G234=""),"",$B234+VLOOKUP($G234,Oppsett!$H$4:$J$7,2,FALSE)/24)</f>
        <v/>
      </c>
      <c r="O234" s="8">
        <f>IF(OR($B234="",$G234=""),"",$B234+VLOOKUP($G234,Oppsett!$H$4:$J$7,3,FALSE)/24)</f>
        <v/>
      </c>
      <c r="P234" s="8" t="n"/>
      <c r="Q234" s="8" t="n"/>
      <c r="R234">
        <f>IF($B234="","",IF($P234&lt;&gt;"",IF($P234&lt;=$N234,"OK","Påbegynt for sent"),IF(NOW()&gt;$N234,"FORFALT","Innen frist")))</f>
        <v/>
      </c>
      <c r="S234">
        <f>IF($B234="","",IF($Q234&lt;&gt;"",IF($Q234&lt;=$O234,"OK","Løst for sent"),IF(NOW()&gt;$O234,"FORFALT","Innen frist")))</f>
        <v/>
      </c>
      <c r="T234" s="10">
        <f>IF(OR($B234="",$Q234=""),"",ROUND(($Q234-$B234)*24,1))</f>
        <v/>
      </c>
    </row>
    <row r="235">
      <c r="A235">
        <f>IF($B235="","","SAK-"&amp;TEXT(ROW()-1,"0000"))</f>
        <v/>
      </c>
      <c r="B235" s="8">
        <f>IF($C235&amp;$H235="","",IF($B235="",NOW(),$B235))</f>
        <v/>
      </c>
      <c r="J235">
        <f>IF($F235="","",IFERROR(VLOOKUP($F235,Oppsett!$E$4:$F$11,2,FALSE),"– ikke tildelt –"))</f>
        <v/>
      </c>
      <c r="L235">
        <f>IF($B235="","",IF($K235&lt;&gt;"",$K235,$J235))</f>
        <v/>
      </c>
      <c r="N235" s="8">
        <f>IF(OR($B235="",$G235=""),"",$B235+VLOOKUP($G235,Oppsett!$H$4:$J$7,2,FALSE)/24)</f>
        <v/>
      </c>
      <c r="O235" s="8">
        <f>IF(OR($B235="",$G235=""),"",$B235+VLOOKUP($G235,Oppsett!$H$4:$J$7,3,FALSE)/24)</f>
        <v/>
      </c>
      <c r="P235" s="8" t="n"/>
      <c r="Q235" s="8" t="n"/>
      <c r="R235">
        <f>IF($B235="","",IF($P235&lt;&gt;"",IF($P235&lt;=$N235,"OK","Påbegynt for sent"),IF(NOW()&gt;$N235,"FORFALT","Innen frist")))</f>
        <v/>
      </c>
      <c r="S235">
        <f>IF($B235="","",IF($Q235&lt;&gt;"",IF($Q235&lt;=$O235,"OK","Løst for sent"),IF(NOW()&gt;$O235,"FORFALT","Innen frist")))</f>
        <v/>
      </c>
      <c r="T235" s="10">
        <f>IF(OR($B235="",$Q235=""),"",ROUND(($Q235-$B235)*24,1))</f>
        <v/>
      </c>
    </row>
    <row r="236">
      <c r="A236">
        <f>IF($B236="","","SAK-"&amp;TEXT(ROW()-1,"0000"))</f>
        <v/>
      </c>
      <c r="B236" s="8">
        <f>IF($C236&amp;$H236="","",IF($B236="",NOW(),$B236))</f>
        <v/>
      </c>
      <c r="J236">
        <f>IF($F236="","",IFERROR(VLOOKUP($F236,Oppsett!$E$4:$F$11,2,FALSE),"– ikke tildelt –"))</f>
        <v/>
      </c>
      <c r="L236">
        <f>IF($B236="","",IF($K236&lt;&gt;"",$K236,$J236))</f>
        <v/>
      </c>
      <c r="N236" s="8">
        <f>IF(OR($B236="",$G236=""),"",$B236+VLOOKUP($G236,Oppsett!$H$4:$J$7,2,FALSE)/24)</f>
        <v/>
      </c>
      <c r="O236" s="8">
        <f>IF(OR($B236="",$G236=""),"",$B236+VLOOKUP($G236,Oppsett!$H$4:$J$7,3,FALSE)/24)</f>
        <v/>
      </c>
      <c r="P236" s="8" t="n"/>
      <c r="Q236" s="8" t="n"/>
      <c r="R236">
        <f>IF($B236="","",IF($P236&lt;&gt;"",IF($P236&lt;=$N236,"OK","Påbegynt for sent"),IF(NOW()&gt;$N236,"FORFALT","Innen frist")))</f>
        <v/>
      </c>
      <c r="S236">
        <f>IF($B236="","",IF($Q236&lt;&gt;"",IF($Q236&lt;=$O236,"OK","Løst for sent"),IF(NOW()&gt;$O236,"FORFALT","Innen frist")))</f>
        <v/>
      </c>
      <c r="T236" s="10">
        <f>IF(OR($B236="",$Q236=""),"",ROUND(($Q236-$B236)*24,1))</f>
        <v/>
      </c>
    </row>
    <row r="237">
      <c r="A237">
        <f>IF($B237="","","SAK-"&amp;TEXT(ROW()-1,"0000"))</f>
        <v/>
      </c>
      <c r="B237" s="8">
        <f>IF($C237&amp;$H237="","",IF($B237="",NOW(),$B237))</f>
        <v/>
      </c>
      <c r="J237">
        <f>IF($F237="","",IFERROR(VLOOKUP($F237,Oppsett!$E$4:$F$11,2,FALSE),"– ikke tildelt –"))</f>
        <v/>
      </c>
      <c r="L237">
        <f>IF($B237="","",IF($K237&lt;&gt;"",$K237,$J237))</f>
        <v/>
      </c>
      <c r="N237" s="8">
        <f>IF(OR($B237="",$G237=""),"",$B237+VLOOKUP($G237,Oppsett!$H$4:$J$7,2,FALSE)/24)</f>
        <v/>
      </c>
      <c r="O237" s="8">
        <f>IF(OR($B237="",$G237=""),"",$B237+VLOOKUP($G237,Oppsett!$H$4:$J$7,3,FALSE)/24)</f>
        <v/>
      </c>
      <c r="P237" s="8" t="n"/>
      <c r="Q237" s="8" t="n"/>
      <c r="R237">
        <f>IF($B237="","",IF($P237&lt;&gt;"",IF($P237&lt;=$N237,"OK","Påbegynt for sent"),IF(NOW()&gt;$N237,"FORFALT","Innen frist")))</f>
        <v/>
      </c>
      <c r="S237">
        <f>IF($B237="","",IF($Q237&lt;&gt;"",IF($Q237&lt;=$O237,"OK","Løst for sent"),IF(NOW()&gt;$O237,"FORFALT","Innen frist")))</f>
        <v/>
      </c>
      <c r="T237" s="10">
        <f>IF(OR($B237="",$Q237=""),"",ROUND(($Q237-$B237)*24,1))</f>
        <v/>
      </c>
    </row>
    <row r="238">
      <c r="A238">
        <f>IF($B238="","","SAK-"&amp;TEXT(ROW()-1,"0000"))</f>
        <v/>
      </c>
      <c r="B238" s="8">
        <f>IF($C238&amp;$H238="","",IF($B238="",NOW(),$B238))</f>
        <v/>
      </c>
      <c r="J238">
        <f>IF($F238="","",IFERROR(VLOOKUP($F238,Oppsett!$E$4:$F$11,2,FALSE),"– ikke tildelt –"))</f>
        <v/>
      </c>
      <c r="L238">
        <f>IF($B238="","",IF($K238&lt;&gt;"",$K238,$J238))</f>
        <v/>
      </c>
      <c r="N238" s="8">
        <f>IF(OR($B238="",$G238=""),"",$B238+VLOOKUP($G238,Oppsett!$H$4:$J$7,2,FALSE)/24)</f>
        <v/>
      </c>
      <c r="O238" s="8">
        <f>IF(OR($B238="",$G238=""),"",$B238+VLOOKUP($G238,Oppsett!$H$4:$J$7,3,FALSE)/24)</f>
        <v/>
      </c>
      <c r="P238" s="8" t="n"/>
      <c r="Q238" s="8" t="n"/>
      <c r="R238">
        <f>IF($B238="","",IF($P238&lt;&gt;"",IF($P238&lt;=$N238,"OK","Påbegynt for sent"),IF(NOW()&gt;$N238,"FORFALT","Innen frist")))</f>
        <v/>
      </c>
      <c r="S238">
        <f>IF($B238="","",IF($Q238&lt;&gt;"",IF($Q238&lt;=$O238,"OK","Løst for sent"),IF(NOW()&gt;$O238,"FORFALT","Innen frist")))</f>
        <v/>
      </c>
      <c r="T238" s="10">
        <f>IF(OR($B238="",$Q238=""),"",ROUND(($Q238-$B238)*24,1))</f>
        <v/>
      </c>
    </row>
    <row r="239">
      <c r="A239">
        <f>IF($B239="","","SAK-"&amp;TEXT(ROW()-1,"0000"))</f>
        <v/>
      </c>
      <c r="B239" s="8">
        <f>IF($C239&amp;$H239="","",IF($B239="",NOW(),$B239))</f>
        <v/>
      </c>
      <c r="J239">
        <f>IF($F239="","",IFERROR(VLOOKUP($F239,Oppsett!$E$4:$F$11,2,FALSE),"– ikke tildelt –"))</f>
        <v/>
      </c>
      <c r="L239">
        <f>IF($B239="","",IF($K239&lt;&gt;"",$K239,$J239))</f>
        <v/>
      </c>
      <c r="N239" s="8">
        <f>IF(OR($B239="",$G239=""),"",$B239+VLOOKUP($G239,Oppsett!$H$4:$J$7,2,FALSE)/24)</f>
        <v/>
      </c>
      <c r="O239" s="8">
        <f>IF(OR($B239="",$G239=""),"",$B239+VLOOKUP($G239,Oppsett!$H$4:$J$7,3,FALSE)/24)</f>
        <v/>
      </c>
      <c r="P239" s="8" t="n"/>
      <c r="Q239" s="8" t="n"/>
      <c r="R239">
        <f>IF($B239="","",IF($P239&lt;&gt;"",IF($P239&lt;=$N239,"OK","Påbegynt for sent"),IF(NOW()&gt;$N239,"FORFALT","Innen frist")))</f>
        <v/>
      </c>
      <c r="S239">
        <f>IF($B239="","",IF($Q239&lt;&gt;"",IF($Q239&lt;=$O239,"OK","Løst for sent"),IF(NOW()&gt;$O239,"FORFALT","Innen frist")))</f>
        <v/>
      </c>
      <c r="T239" s="10">
        <f>IF(OR($B239="",$Q239=""),"",ROUND(($Q239-$B239)*24,1))</f>
        <v/>
      </c>
    </row>
    <row r="240">
      <c r="A240">
        <f>IF($B240="","","SAK-"&amp;TEXT(ROW()-1,"0000"))</f>
        <v/>
      </c>
      <c r="B240" s="8">
        <f>IF($C240&amp;$H240="","",IF($B240="",NOW(),$B240))</f>
        <v/>
      </c>
      <c r="J240">
        <f>IF($F240="","",IFERROR(VLOOKUP($F240,Oppsett!$E$4:$F$11,2,FALSE),"– ikke tildelt –"))</f>
        <v/>
      </c>
      <c r="L240">
        <f>IF($B240="","",IF($K240&lt;&gt;"",$K240,$J240))</f>
        <v/>
      </c>
      <c r="N240" s="8">
        <f>IF(OR($B240="",$G240=""),"",$B240+VLOOKUP($G240,Oppsett!$H$4:$J$7,2,FALSE)/24)</f>
        <v/>
      </c>
      <c r="O240" s="8">
        <f>IF(OR($B240="",$G240=""),"",$B240+VLOOKUP($G240,Oppsett!$H$4:$J$7,3,FALSE)/24)</f>
        <v/>
      </c>
      <c r="P240" s="8" t="n"/>
      <c r="Q240" s="8" t="n"/>
      <c r="R240">
        <f>IF($B240="","",IF($P240&lt;&gt;"",IF($P240&lt;=$N240,"OK","Påbegynt for sent"),IF(NOW()&gt;$N240,"FORFALT","Innen frist")))</f>
        <v/>
      </c>
      <c r="S240">
        <f>IF($B240="","",IF($Q240&lt;&gt;"",IF($Q240&lt;=$O240,"OK","Løst for sent"),IF(NOW()&gt;$O240,"FORFALT","Innen frist")))</f>
        <v/>
      </c>
      <c r="T240" s="10">
        <f>IF(OR($B240="",$Q240=""),"",ROUND(($Q240-$B240)*24,1))</f>
        <v/>
      </c>
    </row>
    <row r="241">
      <c r="A241">
        <f>IF($B241="","","SAK-"&amp;TEXT(ROW()-1,"0000"))</f>
        <v/>
      </c>
      <c r="B241" s="8">
        <f>IF($C241&amp;$H241="","",IF($B241="",NOW(),$B241))</f>
        <v/>
      </c>
      <c r="J241">
        <f>IF($F241="","",IFERROR(VLOOKUP($F241,Oppsett!$E$4:$F$11,2,FALSE),"– ikke tildelt –"))</f>
        <v/>
      </c>
      <c r="L241">
        <f>IF($B241="","",IF($K241&lt;&gt;"",$K241,$J241))</f>
        <v/>
      </c>
      <c r="N241" s="8">
        <f>IF(OR($B241="",$G241=""),"",$B241+VLOOKUP($G241,Oppsett!$H$4:$J$7,2,FALSE)/24)</f>
        <v/>
      </c>
      <c r="O241" s="8">
        <f>IF(OR($B241="",$G241=""),"",$B241+VLOOKUP($G241,Oppsett!$H$4:$J$7,3,FALSE)/24)</f>
        <v/>
      </c>
      <c r="P241" s="8" t="n"/>
      <c r="Q241" s="8" t="n"/>
      <c r="R241">
        <f>IF($B241="","",IF($P241&lt;&gt;"",IF($P241&lt;=$N241,"OK","Påbegynt for sent"),IF(NOW()&gt;$N241,"FORFALT","Innen frist")))</f>
        <v/>
      </c>
      <c r="S241">
        <f>IF($B241="","",IF($Q241&lt;&gt;"",IF($Q241&lt;=$O241,"OK","Løst for sent"),IF(NOW()&gt;$O241,"FORFALT","Innen frist")))</f>
        <v/>
      </c>
      <c r="T241" s="10">
        <f>IF(OR($B241="",$Q241=""),"",ROUND(($Q241-$B241)*24,1))</f>
        <v/>
      </c>
    </row>
    <row r="242">
      <c r="A242">
        <f>IF($B242="","","SAK-"&amp;TEXT(ROW()-1,"0000"))</f>
        <v/>
      </c>
      <c r="B242" s="8">
        <f>IF($C242&amp;$H242="","",IF($B242="",NOW(),$B242))</f>
        <v/>
      </c>
      <c r="J242">
        <f>IF($F242="","",IFERROR(VLOOKUP($F242,Oppsett!$E$4:$F$11,2,FALSE),"– ikke tildelt –"))</f>
        <v/>
      </c>
      <c r="L242">
        <f>IF($B242="","",IF($K242&lt;&gt;"",$K242,$J242))</f>
        <v/>
      </c>
      <c r="N242" s="8">
        <f>IF(OR($B242="",$G242=""),"",$B242+VLOOKUP($G242,Oppsett!$H$4:$J$7,2,FALSE)/24)</f>
        <v/>
      </c>
      <c r="O242" s="8">
        <f>IF(OR($B242="",$G242=""),"",$B242+VLOOKUP($G242,Oppsett!$H$4:$J$7,3,FALSE)/24)</f>
        <v/>
      </c>
      <c r="P242" s="8" t="n"/>
      <c r="Q242" s="8" t="n"/>
      <c r="R242">
        <f>IF($B242="","",IF($P242&lt;&gt;"",IF($P242&lt;=$N242,"OK","Påbegynt for sent"),IF(NOW()&gt;$N242,"FORFALT","Innen frist")))</f>
        <v/>
      </c>
      <c r="S242">
        <f>IF($B242="","",IF($Q242&lt;&gt;"",IF($Q242&lt;=$O242,"OK","Løst for sent"),IF(NOW()&gt;$O242,"FORFALT","Innen frist")))</f>
        <v/>
      </c>
      <c r="T242" s="10">
        <f>IF(OR($B242="",$Q242=""),"",ROUND(($Q242-$B242)*24,1))</f>
        <v/>
      </c>
    </row>
    <row r="243">
      <c r="A243">
        <f>IF($B243="","","SAK-"&amp;TEXT(ROW()-1,"0000"))</f>
        <v/>
      </c>
      <c r="B243" s="8">
        <f>IF($C243&amp;$H243="","",IF($B243="",NOW(),$B243))</f>
        <v/>
      </c>
      <c r="J243">
        <f>IF($F243="","",IFERROR(VLOOKUP($F243,Oppsett!$E$4:$F$11,2,FALSE),"– ikke tildelt –"))</f>
        <v/>
      </c>
      <c r="L243">
        <f>IF($B243="","",IF($K243&lt;&gt;"",$K243,$J243))</f>
        <v/>
      </c>
      <c r="N243" s="8">
        <f>IF(OR($B243="",$G243=""),"",$B243+VLOOKUP($G243,Oppsett!$H$4:$J$7,2,FALSE)/24)</f>
        <v/>
      </c>
      <c r="O243" s="8">
        <f>IF(OR($B243="",$G243=""),"",$B243+VLOOKUP($G243,Oppsett!$H$4:$J$7,3,FALSE)/24)</f>
        <v/>
      </c>
      <c r="P243" s="8" t="n"/>
      <c r="Q243" s="8" t="n"/>
      <c r="R243">
        <f>IF($B243="","",IF($P243&lt;&gt;"",IF($P243&lt;=$N243,"OK","Påbegynt for sent"),IF(NOW()&gt;$N243,"FORFALT","Innen frist")))</f>
        <v/>
      </c>
      <c r="S243">
        <f>IF($B243="","",IF($Q243&lt;&gt;"",IF($Q243&lt;=$O243,"OK","Løst for sent"),IF(NOW()&gt;$O243,"FORFALT","Innen frist")))</f>
        <v/>
      </c>
      <c r="T243" s="10">
        <f>IF(OR($B243="",$Q243=""),"",ROUND(($Q243-$B243)*24,1))</f>
        <v/>
      </c>
    </row>
    <row r="244">
      <c r="A244">
        <f>IF($B244="","","SAK-"&amp;TEXT(ROW()-1,"0000"))</f>
        <v/>
      </c>
      <c r="B244" s="8">
        <f>IF($C244&amp;$H244="","",IF($B244="",NOW(),$B244))</f>
        <v/>
      </c>
      <c r="J244">
        <f>IF($F244="","",IFERROR(VLOOKUP($F244,Oppsett!$E$4:$F$11,2,FALSE),"– ikke tildelt –"))</f>
        <v/>
      </c>
      <c r="L244">
        <f>IF($B244="","",IF($K244&lt;&gt;"",$K244,$J244))</f>
        <v/>
      </c>
      <c r="N244" s="8">
        <f>IF(OR($B244="",$G244=""),"",$B244+VLOOKUP($G244,Oppsett!$H$4:$J$7,2,FALSE)/24)</f>
        <v/>
      </c>
      <c r="O244" s="8">
        <f>IF(OR($B244="",$G244=""),"",$B244+VLOOKUP($G244,Oppsett!$H$4:$J$7,3,FALSE)/24)</f>
        <v/>
      </c>
      <c r="P244" s="8" t="n"/>
      <c r="Q244" s="8" t="n"/>
      <c r="R244">
        <f>IF($B244="","",IF($P244&lt;&gt;"",IF($P244&lt;=$N244,"OK","Påbegynt for sent"),IF(NOW()&gt;$N244,"FORFALT","Innen frist")))</f>
        <v/>
      </c>
      <c r="S244">
        <f>IF($B244="","",IF($Q244&lt;&gt;"",IF($Q244&lt;=$O244,"OK","Løst for sent"),IF(NOW()&gt;$O244,"FORFALT","Innen frist")))</f>
        <v/>
      </c>
      <c r="T244" s="10">
        <f>IF(OR($B244="",$Q244=""),"",ROUND(($Q244-$B244)*24,1))</f>
        <v/>
      </c>
    </row>
    <row r="245">
      <c r="A245">
        <f>IF($B245="","","SAK-"&amp;TEXT(ROW()-1,"0000"))</f>
        <v/>
      </c>
      <c r="B245" s="8">
        <f>IF($C245&amp;$H245="","",IF($B245="",NOW(),$B245))</f>
        <v/>
      </c>
      <c r="J245">
        <f>IF($F245="","",IFERROR(VLOOKUP($F245,Oppsett!$E$4:$F$11,2,FALSE),"– ikke tildelt –"))</f>
        <v/>
      </c>
      <c r="L245">
        <f>IF($B245="","",IF($K245&lt;&gt;"",$K245,$J245))</f>
        <v/>
      </c>
      <c r="N245" s="8">
        <f>IF(OR($B245="",$G245=""),"",$B245+VLOOKUP($G245,Oppsett!$H$4:$J$7,2,FALSE)/24)</f>
        <v/>
      </c>
      <c r="O245" s="8">
        <f>IF(OR($B245="",$G245=""),"",$B245+VLOOKUP($G245,Oppsett!$H$4:$J$7,3,FALSE)/24)</f>
        <v/>
      </c>
      <c r="P245" s="8" t="n"/>
      <c r="Q245" s="8" t="n"/>
      <c r="R245">
        <f>IF($B245="","",IF($P245&lt;&gt;"",IF($P245&lt;=$N245,"OK","Påbegynt for sent"),IF(NOW()&gt;$N245,"FORFALT","Innen frist")))</f>
        <v/>
      </c>
      <c r="S245">
        <f>IF($B245="","",IF($Q245&lt;&gt;"",IF($Q245&lt;=$O245,"OK","Løst for sent"),IF(NOW()&gt;$O245,"FORFALT","Innen frist")))</f>
        <v/>
      </c>
      <c r="T245" s="10">
        <f>IF(OR($B245="",$Q245=""),"",ROUND(($Q245-$B245)*24,1))</f>
        <v/>
      </c>
    </row>
    <row r="246">
      <c r="A246">
        <f>IF($B246="","","SAK-"&amp;TEXT(ROW()-1,"0000"))</f>
        <v/>
      </c>
      <c r="B246" s="8">
        <f>IF($C246&amp;$H246="","",IF($B246="",NOW(),$B246))</f>
        <v/>
      </c>
      <c r="J246">
        <f>IF($F246="","",IFERROR(VLOOKUP($F246,Oppsett!$E$4:$F$11,2,FALSE),"– ikke tildelt –"))</f>
        <v/>
      </c>
      <c r="L246">
        <f>IF($B246="","",IF($K246&lt;&gt;"",$K246,$J246))</f>
        <v/>
      </c>
      <c r="N246" s="8">
        <f>IF(OR($B246="",$G246=""),"",$B246+VLOOKUP($G246,Oppsett!$H$4:$J$7,2,FALSE)/24)</f>
        <v/>
      </c>
      <c r="O246" s="8">
        <f>IF(OR($B246="",$G246=""),"",$B246+VLOOKUP($G246,Oppsett!$H$4:$J$7,3,FALSE)/24)</f>
        <v/>
      </c>
      <c r="P246" s="8" t="n"/>
      <c r="Q246" s="8" t="n"/>
      <c r="R246">
        <f>IF($B246="","",IF($P246&lt;&gt;"",IF($P246&lt;=$N246,"OK","Påbegynt for sent"),IF(NOW()&gt;$N246,"FORFALT","Innen frist")))</f>
        <v/>
      </c>
      <c r="S246">
        <f>IF($B246="","",IF($Q246&lt;&gt;"",IF($Q246&lt;=$O246,"OK","Løst for sent"),IF(NOW()&gt;$O246,"FORFALT","Innen frist")))</f>
        <v/>
      </c>
      <c r="T246" s="10">
        <f>IF(OR($B246="",$Q246=""),"",ROUND(($Q246-$B246)*24,1))</f>
        <v/>
      </c>
    </row>
    <row r="247">
      <c r="A247">
        <f>IF($B247="","","SAK-"&amp;TEXT(ROW()-1,"0000"))</f>
        <v/>
      </c>
      <c r="B247" s="8">
        <f>IF($C247&amp;$H247="","",IF($B247="",NOW(),$B247))</f>
        <v/>
      </c>
      <c r="J247">
        <f>IF($F247="","",IFERROR(VLOOKUP($F247,Oppsett!$E$4:$F$11,2,FALSE),"– ikke tildelt –"))</f>
        <v/>
      </c>
      <c r="L247">
        <f>IF($B247="","",IF($K247&lt;&gt;"",$K247,$J247))</f>
        <v/>
      </c>
      <c r="N247" s="8">
        <f>IF(OR($B247="",$G247=""),"",$B247+VLOOKUP($G247,Oppsett!$H$4:$J$7,2,FALSE)/24)</f>
        <v/>
      </c>
      <c r="O247" s="8">
        <f>IF(OR($B247="",$G247=""),"",$B247+VLOOKUP($G247,Oppsett!$H$4:$J$7,3,FALSE)/24)</f>
        <v/>
      </c>
      <c r="P247" s="8" t="n"/>
      <c r="Q247" s="8" t="n"/>
      <c r="R247">
        <f>IF($B247="","",IF($P247&lt;&gt;"",IF($P247&lt;=$N247,"OK","Påbegynt for sent"),IF(NOW()&gt;$N247,"FORFALT","Innen frist")))</f>
        <v/>
      </c>
      <c r="S247">
        <f>IF($B247="","",IF($Q247&lt;&gt;"",IF($Q247&lt;=$O247,"OK","Løst for sent"),IF(NOW()&gt;$O247,"FORFALT","Innen frist")))</f>
        <v/>
      </c>
      <c r="T247" s="10">
        <f>IF(OR($B247="",$Q247=""),"",ROUND(($Q247-$B247)*24,1))</f>
        <v/>
      </c>
    </row>
    <row r="248">
      <c r="A248">
        <f>IF($B248="","","SAK-"&amp;TEXT(ROW()-1,"0000"))</f>
        <v/>
      </c>
      <c r="B248" s="8">
        <f>IF($C248&amp;$H248="","",IF($B248="",NOW(),$B248))</f>
        <v/>
      </c>
      <c r="J248">
        <f>IF($F248="","",IFERROR(VLOOKUP($F248,Oppsett!$E$4:$F$11,2,FALSE),"– ikke tildelt –"))</f>
        <v/>
      </c>
      <c r="L248">
        <f>IF($B248="","",IF($K248&lt;&gt;"",$K248,$J248))</f>
        <v/>
      </c>
      <c r="N248" s="8">
        <f>IF(OR($B248="",$G248=""),"",$B248+VLOOKUP($G248,Oppsett!$H$4:$J$7,2,FALSE)/24)</f>
        <v/>
      </c>
      <c r="O248" s="8">
        <f>IF(OR($B248="",$G248=""),"",$B248+VLOOKUP($G248,Oppsett!$H$4:$J$7,3,FALSE)/24)</f>
        <v/>
      </c>
      <c r="P248" s="8" t="n"/>
      <c r="Q248" s="8" t="n"/>
      <c r="R248">
        <f>IF($B248="","",IF($P248&lt;&gt;"",IF($P248&lt;=$N248,"OK","Påbegynt for sent"),IF(NOW()&gt;$N248,"FORFALT","Innen frist")))</f>
        <v/>
      </c>
      <c r="S248">
        <f>IF($B248="","",IF($Q248&lt;&gt;"",IF($Q248&lt;=$O248,"OK","Løst for sent"),IF(NOW()&gt;$O248,"FORFALT","Innen frist")))</f>
        <v/>
      </c>
      <c r="T248" s="10">
        <f>IF(OR($B248="",$Q248=""),"",ROUND(($Q248-$B248)*24,1))</f>
        <v/>
      </c>
    </row>
    <row r="249">
      <c r="A249">
        <f>IF($B249="","","SAK-"&amp;TEXT(ROW()-1,"0000"))</f>
        <v/>
      </c>
      <c r="B249" s="8">
        <f>IF($C249&amp;$H249="","",IF($B249="",NOW(),$B249))</f>
        <v/>
      </c>
      <c r="J249">
        <f>IF($F249="","",IFERROR(VLOOKUP($F249,Oppsett!$E$4:$F$11,2,FALSE),"– ikke tildelt –"))</f>
        <v/>
      </c>
      <c r="L249">
        <f>IF($B249="","",IF($K249&lt;&gt;"",$K249,$J249))</f>
        <v/>
      </c>
      <c r="N249" s="8">
        <f>IF(OR($B249="",$G249=""),"",$B249+VLOOKUP($G249,Oppsett!$H$4:$J$7,2,FALSE)/24)</f>
        <v/>
      </c>
      <c r="O249" s="8">
        <f>IF(OR($B249="",$G249=""),"",$B249+VLOOKUP($G249,Oppsett!$H$4:$J$7,3,FALSE)/24)</f>
        <v/>
      </c>
      <c r="P249" s="8" t="n"/>
      <c r="Q249" s="8" t="n"/>
      <c r="R249">
        <f>IF($B249="","",IF($P249&lt;&gt;"",IF($P249&lt;=$N249,"OK","Påbegynt for sent"),IF(NOW()&gt;$N249,"FORFALT","Innen frist")))</f>
        <v/>
      </c>
      <c r="S249">
        <f>IF($B249="","",IF($Q249&lt;&gt;"",IF($Q249&lt;=$O249,"OK","Løst for sent"),IF(NOW()&gt;$O249,"FORFALT","Innen frist")))</f>
        <v/>
      </c>
      <c r="T249" s="10">
        <f>IF(OR($B249="",$Q249=""),"",ROUND(($Q249-$B249)*24,1))</f>
        <v/>
      </c>
    </row>
    <row r="250">
      <c r="A250">
        <f>IF($B250="","","SAK-"&amp;TEXT(ROW()-1,"0000"))</f>
        <v/>
      </c>
      <c r="B250" s="8">
        <f>IF($C250&amp;$H250="","",IF($B250="",NOW(),$B250))</f>
        <v/>
      </c>
      <c r="J250">
        <f>IF($F250="","",IFERROR(VLOOKUP($F250,Oppsett!$E$4:$F$11,2,FALSE),"– ikke tildelt –"))</f>
        <v/>
      </c>
      <c r="L250">
        <f>IF($B250="","",IF($K250&lt;&gt;"",$K250,$J250))</f>
        <v/>
      </c>
      <c r="N250" s="8">
        <f>IF(OR($B250="",$G250=""),"",$B250+VLOOKUP($G250,Oppsett!$H$4:$J$7,2,FALSE)/24)</f>
        <v/>
      </c>
      <c r="O250" s="8">
        <f>IF(OR($B250="",$G250=""),"",$B250+VLOOKUP($G250,Oppsett!$H$4:$J$7,3,FALSE)/24)</f>
        <v/>
      </c>
      <c r="P250" s="8" t="n"/>
      <c r="Q250" s="8" t="n"/>
      <c r="R250">
        <f>IF($B250="","",IF($P250&lt;&gt;"",IF($P250&lt;=$N250,"OK","Påbegynt for sent"),IF(NOW()&gt;$N250,"FORFALT","Innen frist")))</f>
        <v/>
      </c>
      <c r="S250">
        <f>IF($B250="","",IF($Q250&lt;&gt;"",IF($Q250&lt;=$O250,"OK","Løst for sent"),IF(NOW()&gt;$O250,"FORFALT","Innen frist")))</f>
        <v/>
      </c>
      <c r="T250" s="10">
        <f>IF(OR($B250="",$Q250=""),"",ROUND(($Q250-$B250)*24,1))</f>
        <v/>
      </c>
    </row>
    <row r="251">
      <c r="A251">
        <f>IF($B251="","","SAK-"&amp;TEXT(ROW()-1,"0000"))</f>
        <v/>
      </c>
      <c r="B251" s="8">
        <f>IF($C251&amp;$H251="","",IF($B251="",NOW(),$B251))</f>
        <v/>
      </c>
      <c r="J251">
        <f>IF($F251="","",IFERROR(VLOOKUP($F251,Oppsett!$E$4:$F$11,2,FALSE),"– ikke tildelt –"))</f>
        <v/>
      </c>
      <c r="L251">
        <f>IF($B251="","",IF($K251&lt;&gt;"",$K251,$J251))</f>
        <v/>
      </c>
      <c r="N251" s="8">
        <f>IF(OR($B251="",$G251=""),"",$B251+VLOOKUP($G251,Oppsett!$H$4:$J$7,2,FALSE)/24)</f>
        <v/>
      </c>
      <c r="O251" s="8">
        <f>IF(OR($B251="",$G251=""),"",$B251+VLOOKUP($G251,Oppsett!$H$4:$J$7,3,FALSE)/24)</f>
        <v/>
      </c>
      <c r="P251" s="8" t="n"/>
      <c r="Q251" s="8" t="n"/>
      <c r="R251">
        <f>IF($B251="","",IF($P251&lt;&gt;"",IF($P251&lt;=$N251,"OK","Påbegynt for sent"),IF(NOW()&gt;$N251,"FORFALT","Innen frist")))</f>
        <v/>
      </c>
      <c r="S251">
        <f>IF($B251="","",IF($Q251&lt;&gt;"",IF($Q251&lt;=$O251,"OK","Løst for sent"),IF(NOW()&gt;$O251,"FORFALT","Innen frist")))</f>
        <v/>
      </c>
      <c r="T251" s="10">
        <f>IF(OR($B251="",$Q251=""),"",ROUND(($Q251-$B251)*24,1))</f>
        <v/>
      </c>
    </row>
    <row r="252">
      <c r="A252">
        <f>IF($B252="","","SAK-"&amp;TEXT(ROW()-1,"0000"))</f>
        <v/>
      </c>
      <c r="B252" s="8">
        <f>IF($C252&amp;$H252="","",IF($B252="",NOW(),$B252))</f>
        <v/>
      </c>
      <c r="J252">
        <f>IF($F252="","",IFERROR(VLOOKUP($F252,Oppsett!$E$4:$F$11,2,FALSE),"– ikke tildelt –"))</f>
        <v/>
      </c>
      <c r="L252">
        <f>IF($B252="","",IF($K252&lt;&gt;"",$K252,$J252))</f>
        <v/>
      </c>
      <c r="N252" s="8">
        <f>IF(OR($B252="",$G252=""),"",$B252+VLOOKUP($G252,Oppsett!$H$4:$J$7,2,FALSE)/24)</f>
        <v/>
      </c>
      <c r="O252" s="8">
        <f>IF(OR($B252="",$G252=""),"",$B252+VLOOKUP($G252,Oppsett!$H$4:$J$7,3,FALSE)/24)</f>
        <v/>
      </c>
      <c r="P252" s="8" t="n"/>
      <c r="Q252" s="8" t="n"/>
      <c r="R252">
        <f>IF($B252="","",IF($P252&lt;&gt;"",IF($P252&lt;=$N252,"OK","Påbegynt for sent"),IF(NOW()&gt;$N252,"FORFALT","Innen frist")))</f>
        <v/>
      </c>
      <c r="S252">
        <f>IF($B252="","",IF($Q252&lt;&gt;"",IF($Q252&lt;=$O252,"OK","Løst for sent"),IF(NOW()&gt;$O252,"FORFALT","Innen frist")))</f>
        <v/>
      </c>
      <c r="T252" s="10">
        <f>IF(OR($B252="",$Q252=""),"",ROUND(($Q252-$B252)*24,1))</f>
        <v/>
      </c>
    </row>
    <row r="253">
      <c r="A253">
        <f>IF($B253="","","SAK-"&amp;TEXT(ROW()-1,"0000"))</f>
        <v/>
      </c>
      <c r="B253" s="8">
        <f>IF($C253&amp;$H253="","",IF($B253="",NOW(),$B253))</f>
        <v/>
      </c>
      <c r="J253">
        <f>IF($F253="","",IFERROR(VLOOKUP($F253,Oppsett!$E$4:$F$11,2,FALSE),"– ikke tildelt –"))</f>
        <v/>
      </c>
      <c r="L253">
        <f>IF($B253="","",IF($K253&lt;&gt;"",$K253,$J253))</f>
        <v/>
      </c>
      <c r="N253" s="8">
        <f>IF(OR($B253="",$G253=""),"",$B253+VLOOKUP($G253,Oppsett!$H$4:$J$7,2,FALSE)/24)</f>
        <v/>
      </c>
      <c r="O253" s="8">
        <f>IF(OR($B253="",$G253=""),"",$B253+VLOOKUP($G253,Oppsett!$H$4:$J$7,3,FALSE)/24)</f>
        <v/>
      </c>
      <c r="P253" s="8" t="n"/>
      <c r="Q253" s="8" t="n"/>
      <c r="R253">
        <f>IF($B253="","",IF($P253&lt;&gt;"",IF($P253&lt;=$N253,"OK","Påbegynt for sent"),IF(NOW()&gt;$N253,"FORFALT","Innen frist")))</f>
        <v/>
      </c>
      <c r="S253">
        <f>IF($B253="","",IF($Q253&lt;&gt;"",IF($Q253&lt;=$O253,"OK","Løst for sent"),IF(NOW()&gt;$O253,"FORFALT","Innen frist")))</f>
        <v/>
      </c>
      <c r="T253" s="10">
        <f>IF(OR($B253="",$Q253=""),"",ROUND(($Q253-$B253)*24,1))</f>
        <v/>
      </c>
    </row>
    <row r="254">
      <c r="A254">
        <f>IF($B254="","","SAK-"&amp;TEXT(ROW()-1,"0000"))</f>
        <v/>
      </c>
      <c r="B254" s="8">
        <f>IF($C254&amp;$H254="","",IF($B254="",NOW(),$B254))</f>
        <v/>
      </c>
      <c r="J254">
        <f>IF($F254="","",IFERROR(VLOOKUP($F254,Oppsett!$E$4:$F$11,2,FALSE),"– ikke tildelt –"))</f>
        <v/>
      </c>
      <c r="L254">
        <f>IF($B254="","",IF($K254&lt;&gt;"",$K254,$J254))</f>
        <v/>
      </c>
      <c r="N254" s="8">
        <f>IF(OR($B254="",$G254=""),"",$B254+VLOOKUP($G254,Oppsett!$H$4:$J$7,2,FALSE)/24)</f>
        <v/>
      </c>
      <c r="O254" s="8">
        <f>IF(OR($B254="",$G254=""),"",$B254+VLOOKUP($G254,Oppsett!$H$4:$J$7,3,FALSE)/24)</f>
        <v/>
      </c>
      <c r="P254" s="8" t="n"/>
      <c r="Q254" s="8" t="n"/>
      <c r="R254">
        <f>IF($B254="","",IF($P254&lt;&gt;"",IF($P254&lt;=$N254,"OK","Påbegynt for sent"),IF(NOW()&gt;$N254,"FORFALT","Innen frist")))</f>
        <v/>
      </c>
      <c r="S254">
        <f>IF($B254="","",IF($Q254&lt;&gt;"",IF($Q254&lt;=$O254,"OK","Løst for sent"),IF(NOW()&gt;$O254,"FORFALT","Innen frist")))</f>
        <v/>
      </c>
      <c r="T254" s="10">
        <f>IF(OR($B254="",$Q254=""),"",ROUND(($Q254-$B254)*24,1))</f>
        <v/>
      </c>
    </row>
    <row r="255">
      <c r="A255">
        <f>IF($B255="","","SAK-"&amp;TEXT(ROW()-1,"0000"))</f>
        <v/>
      </c>
      <c r="B255" s="8">
        <f>IF($C255&amp;$H255="","",IF($B255="",NOW(),$B255))</f>
        <v/>
      </c>
      <c r="J255">
        <f>IF($F255="","",IFERROR(VLOOKUP($F255,Oppsett!$E$4:$F$11,2,FALSE),"– ikke tildelt –"))</f>
        <v/>
      </c>
      <c r="L255">
        <f>IF($B255="","",IF($K255&lt;&gt;"",$K255,$J255))</f>
        <v/>
      </c>
      <c r="N255" s="8">
        <f>IF(OR($B255="",$G255=""),"",$B255+VLOOKUP($G255,Oppsett!$H$4:$J$7,2,FALSE)/24)</f>
        <v/>
      </c>
      <c r="O255" s="8">
        <f>IF(OR($B255="",$G255=""),"",$B255+VLOOKUP($G255,Oppsett!$H$4:$J$7,3,FALSE)/24)</f>
        <v/>
      </c>
      <c r="P255" s="8" t="n"/>
      <c r="Q255" s="8" t="n"/>
      <c r="R255">
        <f>IF($B255="","",IF($P255&lt;&gt;"",IF($P255&lt;=$N255,"OK","Påbegynt for sent"),IF(NOW()&gt;$N255,"FORFALT","Innen frist")))</f>
        <v/>
      </c>
      <c r="S255">
        <f>IF($B255="","",IF($Q255&lt;&gt;"",IF($Q255&lt;=$O255,"OK","Løst for sent"),IF(NOW()&gt;$O255,"FORFALT","Innen frist")))</f>
        <v/>
      </c>
      <c r="T255" s="10">
        <f>IF(OR($B255="",$Q255=""),"",ROUND(($Q255-$B255)*24,1))</f>
        <v/>
      </c>
    </row>
    <row r="256">
      <c r="A256">
        <f>IF($B256="","","SAK-"&amp;TEXT(ROW()-1,"0000"))</f>
        <v/>
      </c>
      <c r="B256" s="8">
        <f>IF($C256&amp;$H256="","",IF($B256="",NOW(),$B256))</f>
        <v/>
      </c>
      <c r="J256">
        <f>IF($F256="","",IFERROR(VLOOKUP($F256,Oppsett!$E$4:$F$11,2,FALSE),"– ikke tildelt –"))</f>
        <v/>
      </c>
      <c r="L256">
        <f>IF($B256="","",IF($K256&lt;&gt;"",$K256,$J256))</f>
        <v/>
      </c>
      <c r="N256" s="8">
        <f>IF(OR($B256="",$G256=""),"",$B256+VLOOKUP($G256,Oppsett!$H$4:$J$7,2,FALSE)/24)</f>
        <v/>
      </c>
      <c r="O256" s="8">
        <f>IF(OR($B256="",$G256=""),"",$B256+VLOOKUP($G256,Oppsett!$H$4:$J$7,3,FALSE)/24)</f>
        <v/>
      </c>
      <c r="P256" s="8" t="n"/>
      <c r="Q256" s="8" t="n"/>
      <c r="R256">
        <f>IF($B256="","",IF($P256&lt;&gt;"",IF($P256&lt;=$N256,"OK","Påbegynt for sent"),IF(NOW()&gt;$N256,"FORFALT","Innen frist")))</f>
        <v/>
      </c>
      <c r="S256">
        <f>IF($B256="","",IF($Q256&lt;&gt;"",IF($Q256&lt;=$O256,"OK","Løst for sent"),IF(NOW()&gt;$O256,"FORFALT","Innen frist")))</f>
        <v/>
      </c>
      <c r="T256" s="10">
        <f>IF(OR($B256="",$Q256=""),"",ROUND(($Q256-$B256)*24,1))</f>
        <v/>
      </c>
    </row>
    <row r="257">
      <c r="A257">
        <f>IF($B257="","","SAK-"&amp;TEXT(ROW()-1,"0000"))</f>
        <v/>
      </c>
      <c r="B257" s="8">
        <f>IF($C257&amp;$H257="","",IF($B257="",NOW(),$B257))</f>
        <v/>
      </c>
      <c r="J257">
        <f>IF($F257="","",IFERROR(VLOOKUP($F257,Oppsett!$E$4:$F$11,2,FALSE),"– ikke tildelt –"))</f>
        <v/>
      </c>
      <c r="L257">
        <f>IF($B257="","",IF($K257&lt;&gt;"",$K257,$J257))</f>
        <v/>
      </c>
      <c r="N257" s="8">
        <f>IF(OR($B257="",$G257=""),"",$B257+VLOOKUP($G257,Oppsett!$H$4:$J$7,2,FALSE)/24)</f>
        <v/>
      </c>
      <c r="O257" s="8">
        <f>IF(OR($B257="",$G257=""),"",$B257+VLOOKUP($G257,Oppsett!$H$4:$J$7,3,FALSE)/24)</f>
        <v/>
      </c>
      <c r="P257" s="8" t="n"/>
      <c r="Q257" s="8" t="n"/>
      <c r="R257">
        <f>IF($B257="","",IF($P257&lt;&gt;"",IF($P257&lt;=$N257,"OK","Påbegynt for sent"),IF(NOW()&gt;$N257,"FORFALT","Innen frist")))</f>
        <v/>
      </c>
      <c r="S257">
        <f>IF($B257="","",IF($Q257&lt;&gt;"",IF($Q257&lt;=$O257,"OK","Løst for sent"),IF(NOW()&gt;$O257,"FORFALT","Innen frist")))</f>
        <v/>
      </c>
      <c r="T257" s="10">
        <f>IF(OR($B257="",$Q257=""),"",ROUND(($Q257-$B257)*24,1))</f>
        <v/>
      </c>
    </row>
    <row r="258">
      <c r="A258">
        <f>IF($B258="","","SAK-"&amp;TEXT(ROW()-1,"0000"))</f>
        <v/>
      </c>
      <c r="B258" s="8">
        <f>IF($C258&amp;$H258="","",IF($B258="",NOW(),$B258))</f>
        <v/>
      </c>
      <c r="J258">
        <f>IF($F258="","",IFERROR(VLOOKUP($F258,Oppsett!$E$4:$F$11,2,FALSE),"– ikke tildelt –"))</f>
        <v/>
      </c>
      <c r="L258">
        <f>IF($B258="","",IF($K258&lt;&gt;"",$K258,$J258))</f>
        <v/>
      </c>
      <c r="N258" s="8">
        <f>IF(OR($B258="",$G258=""),"",$B258+VLOOKUP($G258,Oppsett!$H$4:$J$7,2,FALSE)/24)</f>
        <v/>
      </c>
      <c r="O258" s="8">
        <f>IF(OR($B258="",$G258=""),"",$B258+VLOOKUP($G258,Oppsett!$H$4:$J$7,3,FALSE)/24)</f>
        <v/>
      </c>
      <c r="P258" s="8" t="n"/>
      <c r="Q258" s="8" t="n"/>
      <c r="R258">
        <f>IF($B258="","",IF($P258&lt;&gt;"",IF($P258&lt;=$N258,"OK","Påbegynt for sent"),IF(NOW()&gt;$N258,"FORFALT","Innen frist")))</f>
        <v/>
      </c>
      <c r="S258">
        <f>IF($B258="","",IF($Q258&lt;&gt;"",IF($Q258&lt;=$O258,"OK","Løst for sent"),IF(NOW()&gt;$O258,"FORFALT","Innen frist")))</f>
        <v/>
      </c>
      <c r="T258" s="10">
        <f>IF(OR($B258="",$Q258=""),"",ROUND(($Q258-$B258)*24,1))</f>
        <v/>
      </c>
    </row>
    <row r="259">
      <c r="A259">
        <f>IF($B259="","","SAK-"&amp;TEXT(ROW()-1,"0000"))</f>
        <v/>
      </c>
      <c r="B259" s="8">
        <f>IF($C259&amp;$H259="","",IF($B259="",NOW(),$B259))</f>
        <v/>
      </c>
      <c r="J259">
        <f>IF($F259="","",IFERROR(VLOOKUP($F259,Oppsett!$E$4:$F$11,2,FALSE),"– ikke tildelt –"))</f>
        <v/>
      </c>
      <c r="L259">
        <f>IF($B259="","",IF($K259&lt;&gt;"",$K259,$J259))</f>
        <v/>
      </c>
      <c r="N259" s="8">
        <f>IF(OR($B259="",$G259=""),"",$B259+VLOOKUP($G259,Oppsett!$H$4:$J$7,2,FALSE)/24)</f>
        <v/>
      </c>
      <c r="O259" s="8">
        <f>IF(OR($B259="",$G259=""),"",$B259+VLOOKUP($G259,Oppsett!$H$4:$J$7,3,FALSE)/24)</f>
        <v/>
      </c>
      <c r="P259" s="8" t="n"/>
      <c r="Q259" s="8" t="n"/>
      <c r="R259">
        <f>IF($B259="","",IF($P259&lt;&gt;"",IF($P259&lt;=$N259,"OK","Påbegynt for sent"),IF(NOW()&gt;$N259,"FORFALT","Innen frist")))</f>
        <v/>
      </c>
      <c r="S259">
        <f>IF($B259="","",IF($Q259&lt;&gt;"",IF($Q259&lt;=$O259,"OK","Løst for sent"),IF(NOW()&gt;$O259,"FORFALT","Innen frist")))</f>
        <v/>
      </c>
      <c r="T259" s="10">
        <f>IF(OR($B259="",$Q259=""),"",ROUND(($Q259-$B259)*24,1))</f>
        <v/>
      </c>
    </row>
    <row r="260">
      <c r="A260">
        <f>IF($B260="","","SAK-"&amp;TEXT(ROW()-1,"0000"))</f>
        <v/>
      </c>
      <c r="B260" s="8">
        <f>IF($C260&amp;$H260="","",IF($B260="",NOW(),$B260))</f>
        <v/>
      </c>
      <c r="J260">
        <f>IF($F260="","",IFERROR(VLOOKUP($F260,Oppsett!$E$4:$F$11,2,FALSE),"– ikke tildelt –"))</f>
        <v/>
      </c>
      <c r="L260">
        <f>IF($B260="","",IF($K260&lt;&gt;"",$K260,$J260))</f>
        <v/>
      </c>
      <c r="N260" s="8">
        <f>IF(OR($B260="",$G260=""),"",$B260+VLOOKUP($G260,Oppsett!$H$4:$J$7,2,FALSE)/24)</f>
        <v/>
      </c>
      <c r="O260" s="8">
        <f>IF(OR($B260="",$G260=""),"",$B260+VLOOKUP($G260,Oppsett!$H$4:$J$7,3,FALSE)/24)</f>
        <v/>
      </c>
      <c r="P260" s="8" t="n"/>
      <c r="Q260" s="8" t="n"/>
      <c r="R260">
        <f>IF($B260="","",IF($P260&lt;&gt;"",IF($P260&lt;=$N260,"OK","Påbegynt for sent"),IF(NOW()&gt;$N260,"FORFALT","Innen frist")))</f>
        <v/>
      </c>
      <c r="S260">
        <f>IF($B260="","",IF($Q260&lt;&gt;"",IF($Q260&lt;=$O260,"OK","Løst for sent"),IF(NOW()&gt;$O260,"FORFALT","Innen frist")))</f>
        <v/>
      </c>
      <c r="T260" s="10">
        <f>IF(OR($B260="",$Q260=""),"",ROUND(($Q260-$B260)*24,1))</f>
        <v/>
      </c>
    </row>
    <row r="261">
      <c r="A261">
        <f>IF($B261="","","SAK-"&amp;TEXT(ROW()-1,"0000"))</f>
        <v/>
      </c>
      <c r="B261" s="8">
        <f>IF($C261&amp;$H261="","",IF($B261="",NOW(),$B261))</f>
        <v/>
      </c>
      <c r="J261">
        <f>IF($F261="","",IFERROR(VLOOKUP($F261,Oppsett!$E$4:$F$11,2,FALSE),"– ikke tildelt –"))</f>
        <v/>
      </c>
      <c r="L261">
        <f>IF($B261="","",IF($K261&lt;&gt;"",$K261,$J261))</f>
        <v/>
      </c>
      <c r="N261" s="8">
        <f>IF(OR($B261="",$G261=""),"",$B261+VLOOKUP($G261,Oppsett!$H$4:$J$7,2,FALSE)/24)</f>
        <v/>
      </c>
      <c r="O261" s="8">
        <f>IF(OR($B261="",$G261=""),"",$B261+VLOOKUP($G261,Oppsett!$H$4:$J$7,3,FALSE)/24)</f>
        <v/>
      </c>
      <c r="P261" s="8" t="n"/>
      <c r="Q261" s="8" t="n"/>
      <c r="R261">
        <f>IF($B261="","",IF($P261&lt;&gt;"",IF($P261&lt;=$N261,"OK","Påbegynt for sent"),IF(NOW()&gt;$N261,"FORFALT","Innen frist")))</f>
        <v/>
      </c>
      <c r="S261">
        <f>IF($B261="","",IF($Q261&lt;&gt;"",IF($Q261&lt;=$O261,"OK","Løst for sent"),IF(NOW()&gt;$O261,"FORFALT","Innen frist")))</f>
        <v/>
      </c>
      <c r="T261" s="10">
        <f>IF(OR($B261="",$Q261=""),"",ROUND(($Q261-$B261)*24,1))</f>
        <v/>
      </c>
    </row>
    <row r="262">
      <c r="A262">
        <f>IF($B262="","","SAK-"&amp;TEXT(ROW()-1,"0000"))</f>
        <v/>
      </c>
      <c r="B262" s="8">
        <f>IF($C262&amp;$H262="","",IF($B262="",NOW(),$B262))</f>
        <v/>
      </c>
      <c r="J262">
        <f>IF($F262="","",IFERROR(VLOOKUP($F262,Oppsett!$E$4:$F$11,2,FALSE),"– ikke tildelt –"))</f>
        <v/>
      </c>
      <c r="L262">
        <f>IF($B262="","",IF($K262&lt;&gt;"",$K262,$J262))</f>
        <v/>
      </c>
      <c r="N262" s="8">
        <f>IF(OR($B262="",$G262=""),"",$B262+VLOOKUP($G262,Oppsett!$H$4:$J$7,2,FALSE)/24)</f>
        <v/>
      </c>
      <c r="O262" s="8">
        <f>IF(OR($B262="",$G262=""),"",$B262+VLOOKUP($G262,Oppsett!$H$4:$J$7,3,FALSE)/24)</f>
        <v/>
      </c>
      <c r="P262" s="8" t="n"/>
      <c r="Q262" s="8" t="n"/>
      <c r="R262">
        <f>IF($B262="","",IF($P262&lt;&gt;"",IF($P262&lt;=$N262,"OK","Påbegynt for sent"),IF(NOW()&gt;$N262,"FORFALT","Innen frist")))</f>
        <v/>
      </c>
      <c r="S262">
        <f>IF($B262="","",IF($Q262&lt;&gt;"",IF($Q262&lt;=$O262,"OK","Løst for sent"),IF(NOW()&gt;$O262,"FORFALT","Innen frist")))</f>
        <v/>
      </c>
      <c r="T262" s="10">
        <f>IF(OR($B262="",$Q262=""),"",ROUND(($Q262-$B262)*24,1))</f>
        <v/>
      </c>
    </row>
    <row r="263">
      <c r="A263">
        <f>IF($B263="","","SAK-"&amp;TEXT(ROW()-1,"0000"))</f>
        <v/>
      </c>
      <c r="B263" s="8">
        <f>IF($C263&amp;$H263="","",IF($B263="",NOW(),$B263))</f>
        <v/>
      </c>
      <c r="J263">
        <f>IF($F263="","",IFERROR(VLOOKUP($F263,Oppsett!$E$4:$F$11,2,FALSE),"– ikke tildelt –"))</f>
        <v/>
      </c>
      <c r="L263">
        <f>IF($B263="","",IF($K263&lt;&gt;"",$K263,$J263))</f>
        <v/>
      </c>
      <c r="N263" s="8">
        <f>IF(OR($B263="",$G263=""),"",$B263+VLOOKUP($G263,Oppsett!$H$4:$J$7,2,FALSE)/24)</f>
        <v/>
      </c>
      <c r="O263" s="8">
        <f>IF(OR($B263="",$G263=""),"",$B263+VLOOKUP($G263,Oppsett!$H$4:$J$7,3,FALSE)/24)</f>
        <v/>
      </c>
      <c r="P263" s="8" t="n"/>
      <c r="Q263" s="8" t="n"/>
      <c r="R263">
        <f>IF($B263="","",IF($P263&lt;&gt;"",IF($P263&lt;=$N263,"OK","Påbegynt for sent"),IF(NOW()&gt;$N263,"FORFALT","Innen frist")))</f>
        <v/>
      </c>
      <c r="S263">
        <f>IF($B263="","",IF($Q263&lt;&gt;"",IF($Q263&lt;=$O263,"OK","Løst for sent"),IF(NOW()&gt;$O263,"FORFALT","Innen frist")))</f>
        <v/>
      </c>
      <c r="T263" s="10">
        <f>IF(OR($B263="",$Q263=""),"",ROUND(($Q263-$B263)*24,1))</f>
        <v/>
      </c>
    </row>
    <row r="264">
      <c r="A264">
        <f>IF($B264="","","SAK-"&amp;TEXT(ROW()-1,"0000"))</f>
        <v/>
      </c>
      <c r="B264" s="8">
        <f>IF($C264&amp;$H264="","",IF($B264="",NOW(),$B264))</f>
        <v/>
      </c>
      <c r="J264">
        <f>IF($F264="","",IFERROR(VLOOKUP($F264,Oppsett!$E$4:$F$11,2,FALSE),"– ikke tildelt –"))</f>
        <v/>
      </c>
      <c r="L264">
        <f>IF($B264="","",IF($K264&lt;&gt;"",$K264,$J264))</f>
        <v/>
      </c>
      <c r="N264" s="8">
        <f>IF(OR($B264="",$G264=""),"",$B264+VLOOKUP($G264,Oppsett!$H$4:$J$7,2,FALSE)/24)</f>
        <v/>
      </c>
      <c r="O264" s="8">
        <f>IF(OR($B264="",$G264=""),"",$B264+VLOOKUP($G264,Oppsett!$H$4:$J$7,3,FALSE)/24)</f>
        <v/>
      </c>
      <c r="P264" s="8" t="n"/>
      <c r="Q264" s="8" t="n"/>
      <c r="R264">
        <f>IF($B264="","",IF($P264&lt;&gt;"",IF($P264&lt;=$N264,"OK","Påbegynt for sent"),IF(NOW()&gt;$N264,"FORFALT","Innen frist")))</f>
        <v/>
      </c>
      <c r="S264">
        <f>IF($B264="","",IF($Q264&lt;&gt;"",IF($Q264&lt;=$O264,"OK","Løst for sent"),IF(NOW()&gt;$O264,"FORFALT","Innen frist")))</f>
        <v/>
      </c>
      <c r="T264" s="10">
        <f>IF(OR($B264="",$Q264=""),"",ROUND(($Q264-$B264)*24,1))</f>
        <v/>
      </c>
    </row>
    <row r="265">
      <c r="A265">
        <f>IF($B265="","","SAK-"&amp;TEXT(ROW()-1,"0000"))</f>
        <v/>
      </c>
      <c r="B265" s="8">
        <f>IF($C265&amp;$H265="","",IF($B265="",NOW(),$B265))</f>
        <v/>
      </c>
      <c r="J265">
        <f>IF($F265="","",IFERROR(VLOOKUP($F265,Oppsett!$E$4:$F$11,2,FALSE),"– ikke tildelt –"))</f>
        <v/>
      </c>
      <c r="L265">
        <f>IF($B265="","",IF($K265&lt;&gt;"",$K265,$J265))</f>
        <v/>
      </c>
      <c r="N265" s="8">
        <f>IF(OR($B265="",$G265=""),"",$B265+VLOOKUP($G265,Oppsett!$H$4:$J$7,2,FALSE)/24)</f>
        <v/>
      </c>
      <c r="O265" s="8">
        <f>IF(OR($B265="",$G265=""),"",$B265+VLOOKUP($G265,Oppsett!$H$4:$J$7,3,FALSE)/24)</f>
        <v/>
      </c>
      <c r="P265" s="8" t="n"/>
      <c r="Q265" s="8" t="n"/>
      <c r="R265">
        <f>IF($B265="","",IF($P265&lt;&gt;"",IF($P265&lt;=$N265,"OK","Påbegynt for sent"),IF(NOW()&gt;$N265,"FORFALT","Innen frist")))</f>
        <v/>
      </c>
      <c r="S265">
        <f>IF($B265="","",IF($Q265&lt;&gt;"",IF($Q265&lt;=$O265,"OK","Løst for sent"),IF(NOW()&gt;$O265,"FORFALT","Innen frist")))</f>
        <v/>
      </c>
      <c r="T265" s="10">
        <f>IF(OR($B265="",$Q265=""),"",ROUND(($Q265-$B265)*24,1))</f>
        <v/>
      </c>
    </row>
    <row r="266">
      <c r="A266">
        <f>IF($B266="","","SAK-"&amp;TEXT(ROW()-1,"0000"))</f>
        <v/>
      </c>
      <c r="B266" s="8">
        <f>IF($C266&amp;$H266="","",IF($B266="",NOW(),$B266))</f>
        <v/>
      </c>
      <c r="J266">
        <f>IF($F266="","",IFERROR(VLOOKUP($F266,Oppsett!$E$4:$F$11,2,FALSE),"– ikke tildelt –"))</f>
        <v/>
      </c>
      <c r="L266">
        <f>IF($B266="","",IF($K266&lt;&gt;"",$K266,$J266))</f>
        <v/>
      </c>
      <c r="N266" s="8">
        <f>IF(OR($B266="",$G266=""),"",$B266+VLOOKUP($G266,Oppsett!$H$4:$J$7,2,FALSE)/24)</f>
        <v/>
      </c>
      <c r="O266" s="8">
        <f>IF(OR($B266="",$G266=""),"",$B266+VLOOKUP($G266,Oppsett!$H$4:$J$7,3,FALSE)/24)</f>
        <v/>
      </c>
      <c r="P266" s="8" t="n"/>
      <c r="Q266" s="8" t="n"/>
      <c r="R266">
        <f>IF($B266="","",IF($P266&lt;&gt;"",IF($P266&lt;=$N266,"OK","Påbegynt for sent"),IF(NOW()&gt;$N266,"FORFALT","Innen frist")))</f>
        <v/>
      </c>
      <c r="S266">
        <f>IF($B266="","",IF($Q266&lt;&gt;"",IF($Q266&lt;=$O266,"OK","Løst for sent"),IF(NOW()&gt;$O266,"FORFALT","Innen frist")))</f>
        <v/>
      </c>
      <c r="T266" s="10">
        <f>IF(OR($B266="",$Q266=""),"",ROUND(($Q266-$B266)*24,1))</f>
        <v/>
      </c>
    </row>
    <row r="267">
      <c r="A267">
        <f>IF($B267="","","SAK-"&amp;TEXT(ROW()-1,"0000"))</f>
        <v/>
      </c>
      <c r="B267" s="8">
        <f>IF($C267&amp;$H267="","",IF($B267="",NOW(),$B267))</f>
        <v/>
      </c>
      <c r="J267">
        <f>IF($F267="","",IFERROR(VLOOKUP($F267,Oppsett!$E$4:$F$11,2,FALSE),"– ikke tildelt –"))</f>
        <v/>
      </c>
      <c r="L267">
        <f>IF($B267="","",IF($K267&lt;&gt;"",$K267,$J267))</f>
        <v/>
      </c>
      <c r="N267" s="8">
        <f>IF(OR($B267="",$G267=""),"",$B267+VLOOKUP($G267,Oppsett!$H$4:$J$7,2,FALSE)/24)</f>
        <v/>
      </c>
      <c r="O267" s="8">
        <f>IF(OR($B267="",$G267=""),"",$B267+VLOOKUP($G267,Oppsett!$H$4:$J$7,3,FALSE)/24)</f>
        <v/>
      </c>
      <c r="P267" s="8" t="n"/>
      <c r="Q267" s="8" t="n"/>
      <c r="R267">
        <f>IF($B267="","",IF($P267&lt;&gt;"",IF($P267&lt;=$N267,"OK","Påbegynt for sent"),IF(NOW()&gt;$N267,"FORFALT","Innen frist")))</f>
        <v/>
      </c>
      <c r="S267">
        <f>IF($B267="","",IF($Q267&lt;&gt;"",IF($Q267&lt;=$O267,"OK","Løst for sent"),IF(NOW()&gt;$O267,"FORFALT","Innen frist")))</f>
        <v/>
      </c>
      <c r="T267" s="10">
        <f>IF(OR($B267="",$Q267=""),"",ROUND(($Q267-$B267)*24,1))</f>
        <v/>
      </c>
    </row>
    <row r="268">
      <c r="A268">
        <f>IF($B268="","","SAK-"&amp;TEXT(ROW()-1,"0000"))</f>
        <v/>
      </c>
      <c r="B268" s="8">
        <f>IF($C268&amp;$H268="","",IF($B268="",NOW(),$B268))</f>
        <v/>
      </c>
      <c r="J268">
        <f>IF($F268="","",IFERROR(VLOOKUP($F268,Oppsett!$E$4:$F$11,2,FALSE),"– ikke tildelt –"))</f>
        <v/>
      </c>
      <c r="L268">
        <f>IF($B268="","",IF($K268&lt;&gt;"",$K268,$J268))</f>
        <v/>
      </c>
      <c r="N268" s="8">
        <f>IF(OR($B268="",$G268=""),"",$B268+VLOOKUP($G268,Oppsett!$H$4:$J$7,2,FALSE)/24)</f>
        <v/>
      </c>
      <c r="O268" s="8">
        <f>IF(OR($B268="",$G268=""),"",$B268+VLOOKUP($G268,Oppsett!$H$4:$J$7,3,FALSE)/24)</f>
        <v/>
      </c>
      <c r="P268" s="8" t="n"/>
      <c r="Q268" s="8" t="n"/>
      <c r="R268">
        <f>IF($B268="","",IF($P268&lt;&gt;"",IF($P268&lt;=$N268,"OK","Påbegynt for sent"),IF(NOW()&gt;$N268,"FORFALT","Innen frist")))</f>
        <v/>
      </c>
      <c r="S268">
        <f>IF($B268="","",IF($Q268&lt;&gt;"",IF($Q268&lt;=$O268,"OK","Løst for sent"),IF(NOW()&gt;$O268,"FORFALT","Innen frist")))</f>
        <v/>
      </c>
      <c r="T268" s="10">
        <f>IF(OR($B268="",$Q268=""),"",ROUND(($Q268-$B268)*24,1))</f>
        <v/>
      </c>
    </row>
    <row r="269">
      <c r="A269">
        <f>IF($B269="","","SAK-"&amp;TEXT(ROW()-1,"0000"))</f>
        <v/>
      </c>
      <c r="B269" s="8">
        <f>IF($C269&amp;$H269="","",IF($B269="",NOW(),$B269))</f>
        <v/>
      </c>
      <c r="J269">
        <f>IF($F269="","",IFERROR(VLOOKUP($F269,Oppsett!$E$4:$F$11,2,FALSE),"– ikke tildelt –"))</f>
        <v/>
      </c>
      <c r="L269">
        <f>IF($B269="","",IF($K269&lt;&gt;"",$K269,$J269))</f>
        <v/>
      </c>
      <c r="N269" s="8">
        <f>IF(OR($B269="",$G269=""),"",$B269+VLOOKUP($G269,Oppsett!$H$4:$J$7,2,FALSE)/24)</f>
        <v/>
      </c>
      <c r="O269" s="8">
        <f>IF(OR($B269="",$G269=""),"",$B269+VLOOKUP($G269,Oppsett!$H$4:$J$7,3,FALSE)/24)</f>
        <v/>
      </c>
      <c r="P269" s="8" t="n"/>
      <c r="Q269" s="8" t="n"/>
      <c r="R269">
        <f>IF($B269="","",IF($P269&lt;&gt;"",IF($P269&lt;=$N269,"OK","Påbegynt for sent"),IF(NOW()&gt;$N269,"FORFALT","Innen frist")))</f>
        <v/>
      </c>
      <c r="S269">
        <f>IF($B269="","",IF($Q269&lt;&gt;"",IF($Q269&lt;=$O269,"OK","Løst for sent"),IF(NOW()&gt;$O269,"FORFALT","Innen frist")))</f>
        <v/>
      </c>
      <c r="T269" s="10">
        <f>IF(OR($B269="",$Q269=""),"",ROUND(($Q269-$B269)*24,1))</f>
        <v/>
      </c>
    </row>
    <row r="270">
      <c r="A270">
        <f>IF($B270="","","SAK-"&amp;TEXT(ROW()-1,"0000"))</f>
        <v/>
      </c>
      <c r="B270" s="8">
        <f>IF($C270&amp;$H270="","",IF($B270="",NOW(),$B270))</f>
        <v/>
      </c>
      <c r="J270">
        <f>IF($F270="","",IFERROR(VLOOKUP($F270,Oppsett!$E$4:$F$11,2,FALSE),"– ikke tildelt –"))</f>
        <v/>
      </c>
      <c r="L270">
        <f>IF($B270="","",IF($K270&lt;&gt;"",$K270,$J270))</f>
        <v/>
      </c>
      <c r="N270" s="8">
        <f>IF(OR($B270="",$G270=""),"",$B270+VLOOKUP($G270,Oppsett!$H$4:$J$7,2,FALSE)/24)</f>
        <v/>
      </c>
      <c r="O270" s="8">
        <f>IF(OR($B270="",$G270=""),"",$B270+VLOOKUP($G270,Oppsett!$H$4:$J$7,3,FALSE)/24)</f>
        <v/>
      </c>
      <c r="P270" s="8" t="n"/>
      <c r="Q270" s="8" t="n"/>
      <c r="R270">
        <f>IF($B270="","",IF($P270&lt;&gt;"",IF($P270&lt;=$N270,"OK","Påbegynt for sent"),IF(NOW()&gt;$N270,"FORFALT","Innen frist")))</f>
        <v/>
      </c>
      <c r="S270">
        <f>IF($B270="","",IF($Q270&lt;&gt;"",IF($Q270&lt;=$O270,"OK","Løst for sent"),IF(NOW()&gt;$O270,"FORFALT","Innen frist")))</f>
        <v/>
      </c>
      <c r="T270" s="10">
        <f>IF(OR($B270="",$Q270=""),"",ROUND(($Q270-$B270)*24,1))</f>
        <v/>
      </c>
    </row>
    <row r="271">
      <c r="A271">
        <f>IF($B271="","","SAK-"&amp;TEXT(ROW()-1,"0000"))</f>
        <v/>
      </c>
      <c r="B271" s="8">
        <f>IF($C271&amp;$H271="","",IF($B271="",NOW(),$B271))</f>
        <v/>
      </c>
      <c r="J271">
        <f>IF($F271="","",IFERROR(VLOOKUP($F271,Oppsett!$E$4:$F$11,2,FALSE),"– ikke tildelt –"))</f>
        <v/>
      </c>
      <c r="L271">
        <f>IF($B271="","",IF($K271&lt;&gt;"",$K271,$J271))</f>
        <v/>
      </c>
      <c r="N271" s="8">
        <f>IF(OR($B271="",$G271=""),"",$B271+VLOOKUP($G271,Oppsett!$H$4:$J$7,2,FALSE)/24)</f>
        <v/>
      </c>
      <c r="O271" s="8">
        <f>IF(OR($B271="",$G271=""),"",$B271+VLOOKUP($G271,Oppsett!$H$4:$J$7,3,FALSE)/24)</f>
        <v/>
      </c>
      <c r="P271" s="8" t="n"/>
      <c r="Q271" s="8" t="n"/>
      <c r="R271">
        <f>IF($B271="","",IF($P271&lt;&gt;"",IF($P271&lt;=$N271,"OK","Påbegynt for sent"),IF(NOW()&gt;$N271,"FORFALT","Innen frist")))</f>
        <v/>
      </c>
      <c r="S271">
        <f>IF($B271="","",IF($Q271&lt;&gt;"",IF($Q271&lt;=$O271,"OK","Løst for sent"),IF(NOW()&gt;$O271,"FORFALT","Innen frist")))</f>
        <v/>
      </c>
      <c r="T271" s="10">
        <f>IF(OR($B271="",$Q271=""),"",ROUND(($Q271-$B271)*24,1))</f>
        <v/>
      </c>
    </row>
    <row r="272">
      <c r="A272">
        <f>IF($B272="","","SAK-"&amp;TEXT(ROW()-1,"0000"))</f>
        <v/>
      </c>
      <c r="B272" s="8">
        <f>IF($C272&amp;$H272="","",IF($B272="",NOW(),$B272))</f>
        <v/>
      </c>
      <c r="J272">
        <f>IF($F272="","",IFERROR(VLOOKUP($F272,Oppsett!$E$4:$F$11,2,FALSE),"– ikke tildelt –"))</f>
        <v/>
      </c>
      <c r="L272">
        <f>IF($B272="","",IF($K272&lt;&gt;"",$K272,$J272))</f>
        <v/>
      </c>
      <c r="N272" s="8">
        <f>IF(OR($B272="",$G272=""),"",$B272+VLOOKUP($G272,Oppsett!$H$4:$J$7,2,FALSE)/24)</f>
        <v/>
      </c>
      <c r="O272" s="8">
        <f>IF(OR($B272="",$G272=""),"",$B272+VLOOKUP($G272,Oppsett!$H$4:$J$7,3,FALSE)/24)</f>
        <v/>
      </c>
      <c r="P272" s="8" t="n"/>
      <c r="Q272" s="8" t="n"/>
      <c r="R272">
        <f>IF($B272="","",IF($P272&lt;&gt;"",IF($P272&lt;=$N272,"OK","Påbegynt for sent"),IF(NOW()&gt;$N272,"FORFALT","Innen frist")))</f>
        <v/>
      </c>
      <c r="S272">
        <f>IF($B272="","",IF($Q272&lt;&gt;"",IF($Q272&lt;=$O272,"OK","Løst for sent"),IF(NOW()&gt;$O272,"FORFALT","Innen frist")))</f>
        <v/>
      </c>
      <c r="T272" s="10">
        <f>IF(OR($B272="",$Q272=""),"",ROUND(($Q272-$B272)*24,1))</f>
        <v/>
      </c>
    </row>
    <row r="273">
      <c r="A273">
        <f>IF($B273="","","SAK-"&amp;TEXT(ROW()-1,"0000"))</f>
        <v/>
      </c>
      <c r="B273" s="8">
        <f>IF($C273&amp;$H273="","",IF($B273="",NOW(),$B273))</f>
        <v/>
      </c>
      <c r="J273">
        <f>IF($F273="","",IFERROR(VLOOKUP($F273,Oppsett!$E$4:$F$11,2,FALSE),"– ikke tildelt –"))</f>
        <v/>
      </c>
      <c r="L273">
        <f>IF($B273="","",IF($K273&lt;&gt;"",$K273,$J273))</f>
        <v/>
      </c>
      <c r="N273" s="8">
        <f>IF(OR($B273="",$G273=""),"",$B273+VLOOKUP($G273,Oppsett!$H$4:$J$7,2,FALSE)/24)</f>
        <v/>
      </c>
      <c r="O273" s="8">
        <f>IF(OR($B273="",$G273=""),"",$B273+VLOOKUP($G273,Oppsett!$H$4:$J$7,3,FALSE)/24)</f>
        <v/>
      </c>
      <c r="P273" s="8" t="n"/>
      <c r="Q273" s="8" t="n"/>
      <c r="R273">
        <f>IF($B273="","",IF($P273&lt;&gt;"",IF($P273&lt;=$N273,"OK","Påbegynt for sent"),IF(NOW()&gt;$N273,"FORFALT","Innen frist")))</f>
        <v/>
      </c>
      <c r="S273">
        <f>IF($B273="","",IF($Q273&lt;&gt;"",IF($Q273&lt;=$O273,"OK","Løst for sent"),IF(NOW()&gt;$O273,"FORFALT","Innen frist")))</f>
        <v/>
      </c>
      <c r="T273" s="10">
        <f>IF(OR($B273="",$Q273=""),"",ROUND(($Q273-$B273)*24,1))</f>
        <v/>
      </c>
    </row>
    <row r="274">
      <c r="A274">
        <f>IF($B274="","","SAK-"&amp;TEXT(ROW()-1,"0000"))</f>
        <v/>
      </c>
      <c r="B274" s="8">
        <f>IF($C274&amp;$H274="","",IF($B274="",NOW(),$B274))</f>
        <v/>
      </c>
      <c r="J274">
        <f>IF($F274="","",IFERROR(VLOOKUP($F274,Oppsett!$E$4:$F$11,2,FALSE),"– ikke tildelt –"))</f>
        <v/>
      </c>
      <c r="L274">
        <f>IF($B274="","",IF($K274&lt;&gt;"",$K274,$J274))</f>
        <v/>
      </c>
      <c r="N274" s="8">
        <f>IF(OR($B274="",$G274=""),"",$B274+VLOOKUP($G274,Oppsett!$H$4:$J$7,2,FALSE)/24)</f>
        <v/>
      </c>
      <c r="O274" s="8">
        <f>IF(OR($B274="",$G274=""),"",$B274+VLOOKUP($G274,Oppsett!$H$4:$J$7,3,FALSE)/24)</f>
        <v/>
      </c>
      <c r="P274" s="8" t="n"/>
      <c r="Q274" s="8" t="n"/>
      <c r="R274">
        <f>IF($B274="","",IF($P274&lt;&gt;"",IF($P274&lt;=$N274,"OK","Påbegynt for sent"),IF(NOW()&gt;$N274,"FORFALT","Innen frist")))</f>
        <v/>
      </c>
      <c r="S274">
        <f>IF($B274="","",IF($Q274&lt;&gt;"",IF($Q274&lt;=$O274,"OK","Løst for sent"),IF(NOW()&gt;$O274,"FORFALT","Innen frist")))</f>
        <v/>
      </c>
      <c r="T274" s="10">
        <f>IF(OR($B274="",$Q274=""),"",ROUND(($Q274-$B274)*24,1))</f>
        <v/>
      </c>
    </row>
    <row r="275">
      <c r="A275">
        <f>IF($B275="","","SAK-"&amp;TEXT(ROW()-1,"0000"))</f>
        <v/>
      </c>
      <c r="B275" s="8">
        <f>IF($C275&amp;$H275="","",IF($B275="",NOW(),$B275))</f>
        <v/>
      </c>
      <c r="J275">
        <f>IF($F275="","",IFERROR(VLOOKUP($F275,Oppsett!$E$4:$F$11,2,FALSE),"– ikke tildelt –"))</f>
        <v/>
      </c>
      <c r="L275">
        <f>IF($B275="","",IF($K275&lt;&gt;"",$K275,$J275))</f>
        <v/>
      </c>
      <c r="N275" s="8">
        <f>IF(OR($B275="",$G275=""),"",$B275+VLOOKUP($G275,Oppsett!$H$4:$J$7,2,FALSE)/24)</f>
        <v/>
      </c>
      <c r="O275" s="8">
        <f>IF(OR($B275="",$G275=""),"",$B275+VLOOKUP($G275,Oppsett!$H$4:$J$7,3,FALSE)/24)</f>
        <v/>
      </c>
      <c r="P275" s="8" t="n"/>
      <c r="Q275" s="8" t="n"/>
      <c r="R275">
        <f>IF($B275="","",IF($P275&lt;&gt;"",IF($P275&lt;=$N275,"OK","Påbegynt for sent"),IF(NOW()&gt;$N275,"FORFALT","Innen frist")))</f>
        <v/>
      </c>
      <c r="S275">
        <f>IF($B275="","",IF($Q275&lt;&gt;"",IF($Q275&lt;=$O275,"OK","Løst for sent"),IF(NOW()&gt;$O275,"FORFALT","Innen frist")))</f>
        <v/>
      </c>
      <c r="T275" s="10">
        <f>IF(OR($B275="",$Q275=""),"",ROUND(($Q275-$B275)*24,1))</f>
        <v/>
      </c>
    </row>
    <row r="276">
      <c r="A276">
        <f>IF($B276="","","SAK-"&amp;TEXT(ROW()-1,"0000"))</f>
        <v/>
      </c>
      <c r="B276" s="8">
        <f>IF($C276&amp;$H276="","",IF($B276="",NOW(),$B276))</f>
        <v/>
      </c>
      <c r="J276">
        <f>IF($F276="","",IFERROR(VLOOKUP($F276,Oppsett!$E$4:$F$11,2,FALSE),"– ikke tildelt –"))</f>
        <v/>
      </c>
      <c r="L276">
        <f>IF($B276="","",IF($K276&lt;&gt;"",$K276,$J276))</f>
        <v/>
      </c>
      <c r="N276" s="8">
        <f>IF(OR($B276="",$G276=""),"",$B276+VLOOKUP($G276,Oppsett!$H$4:$J$7,2,FALSE)/24)</f>
        <v/>
      </c>
      <c r="O276" s="8">
        <f>IF(OR($B276="",$G276=""),"",$B276+VLOOKUP($G276,Oppsett!$H$4:$J$7,3,FALSE)/24)</f>
        <v/>
      </c>
      <c r="P276" s="8" t="n"/>
      <c r="Q276" s="8" t="n"/>
      <c r="R276">
        <f>IF($B276="","",IF($P276&lt;&gt;"",IF($P276&lt;=$N276,"OK","Påbegynt for sent"),IF(NOW()&gt;$N276,"FORFALT","Innen frist")))</f>
        <v/>
      </c>
      <c r="S276">
        <f>IF($B276="","",IF($Q276&lt;&gt;"",IF($Q276&lt;=$O276,"OK","Løst for sent"),IF(NOW()&gt;$O276,"FORFALT","Innen frist")))</f>
        <v/>
      </c>
      <c r="T276" s="10">
        <f>IF(OR($B276="",$Q276=""),"",ROUND(($Q276-$B276)*24,1))</f>
        <v/>
      </c>
    </row>
    <row r="277">
      <c r="A277">
        <f>IF($B277="","","SAK-"&amp;TEXT(ROW()-1,"0000"))</f>
        <v/>
      </c>
      <c r="B277" s="8">
        <f>IF($C277&amp;$H277="","",IF($B277="",NOW(),$B277))</f>
        <v/>
      </c>
      <c r="J277">
        <f>IF($F277="","",IFERROR(VLOOKUP($F277,Oppsett!$E$4:$F$11,2,FALSE),"– ikke tildelt –"))</f>
        <v/>
      </c>
      <c r="L277">
        <f>IF($B277="","",IF($K277&lt;&gt;"",$K277,$J277))</f>
        <v/>
      </c>
      <c r="N277" s="8">
        <f>IF(OR($B277="",$G277=""),"",$B277+VLOOKUP($G277,Oppsett!$H$4:$J$7,2,FALSE)/24)</f>
        <v/>
      </c>
      <c r="O277" s="8">
        <f>IF(OR($B277="",$G277=""),"",$B277+VLOOKUP($G277,Oppsett!$H$4:$J$7,3,FALSE)/24)</f>
        <v/>
      </c>
      <c r="P277" s="8" t="n"/>
      <c r="Q277" s="8" t="n"/>
      <c r="R277">
        <f>IF($B277="","",IF($P277&lt;&gt;"",IF($P277&lt;=$N277,"OK","Påbegynt for sent"),IF(NOW()&gt;$N277,"FORFALT","Innen frist")))</f>
        <v/>
      </c>
      <c r="S277">
        <f>IF($B277="","",IF($Q277&lt;&gt;"",IF($Q277&lt;=$O277,"OK","Løst for sent"),IF(NOW()&gt;$O277,"FORFALT","Innen frist")))</f>
        <v/>
      </c>
      <c r="T277" s="10">
        <f>IF(OR($B277="",$Q277=""),"",ROUND(($Q277-$B277)*24,1))</f>
        <v/>
      </c>
    </row>
    <row r="278">
      <c r="A278">
        <f>IF($B278="","","SAK-"&amp;TEXT(ROW()-1,"0000"))</f>
        <v/>
      </c>
      <c r="B278" s="8">
        <f>IF($C278&amp;$H278="","",IF($B278="",NOW(),$B278))</f>
        <v/>
      </c>
      <c r="J278">
        <f>IF($F278="","",IFERROR(VLOOKUP($F278,Oppsett!$E$4:$F$11,2,FALSE),"– ikke tildelt –"))</f>
        <v/>
      </c>
      <c r="L278">
        <f>IF($B278="","",IF($K278&lt;&gt;"",$K278,$J278))</f>
        <v/>
      </c>
      <c r="N278" s="8">
        <f>IF(OR($B278="",$G278=""),"",$B278+VLOOKUP($G278,Oppsett!$H$4:$J$7,2,FALSE)/24)</f>
        <v/>
      </c>
      <c r="O278" s="8">
        <f>IF(OR($B278="",$G278=""),"",$B278+VLOOKUP($G278,Oppsett!$H$4:$J$7,3,FALSE)/24)</f>
        <v/>
      </c>
      <c r="P278" s="8" t="n"/>
      <c r="Q278" s="8" t="n"/>
      <c r="R278">
        <f>IF($B278="","",IF($P278&lt;&gt;"",IF($P278&lt;=$N278,"OK","Påbegynt for sent"),IF(NOW()&gt;$N278,"FORFALT","Innen frist")))</f>
        <v/>
      </c>
      <c r="S278">
        <f>IF($B278="","",IF($Q278&lt;&gt;"",IF($Q278&lt;=$O278,"OK","Løst for sent"),IF(NOW()&gt;$O278,"FORFALT","Innen frist")))</f>
        <v/>
      </c>
      <c r="T278" s="10">
        <f>IF(OR($B278="",$Q278=""),"",ROUND(($Q278-$B278)*24,1))</f>
        <v/>
      </c>
    </row>
    <row r="279">
      <c r="A279">
        <f>IF($B279="","","SAK-"&amp;TEXT(ROW()-1,"0000"))</f>
        <v/>
      </c>
      <c r="B279" s="8">
        <f>IF($C279&amp;$H279="","",IF($B279="",NOW(),$B279))</f>
        <v/>
      </c>
      <c r="J279">
        <f>IF($F279="","",IFERROR(VLOOKUP($F279,Oppsett!$E$4:$F$11,2,FALSE),"– ikke tildelt –"))</f>
        <v/>
      </c>
      <c r="L279">
        <f>IF($B279="","",IF($K279&lt;&gt;"",$K279,$J279))</f>
        <v/>
      </c>
      <c r="N279" s="8">
        <f>IF(OR($B279="",$G279=""),"",$B279+VLOOKUP($G279,Oppsett!$H$4:$J$7,2,FALSE)/24)</f>
        <v/>
      </c>
      <c r="O279" s="8">
        <f>IF(OR($B279="",$G279=""),"",$B279+VLOOKUP($G279,Oppsett!$H$4:$J$7,3,FALSE)/24)</f>
        <v/>
      </c>
      <c r="P279" s="8" t="n"/>
      <c r="Q279" s="8" t="n"/>
      <c r="R279">
        <f>IF($B279="","",IF($P279&lt;&gt;"",IF($P279&lt;=$N279,"OK","Påbegynt for sent"),IF(NOW()&gt;$N279,"FORFALT","Innen frist")))</f>
        <v/>
      </c>
      <c r="S279">
        <f>IF($B279="","",IF($Q279&lt;&gt;"",IF($Q279&lt;=$O279,"OK","Løst for sent"),IF(NOW()&gt;$O279,"FORFALT","Innen frist")))</f>
        <v/>
      </c>
      <c r="T279" s="10">
        <f>IF(OR($B279="",$Q279=""),"",ROUND(($Q279-$B279)*24,1))</f>
        <v/>
      </c>
    </row>
    <row r="280">
      <c r="A280">
        <f>IF($B280="","","SAK-"&amp;TEXT(ROW()-1,"0000"))</f>
        <v/>
      </c>
      <c r="B280" s="8">
        <f>IF($C280&amp;$H280="","",IF($B280="",NOW(),$B280))</f>
        <v/>
      </c>
      <c r="J280">
        <f>IF($F280="","",IFERROR(VLOOKUP($F280,Oppsett!$E$4:$F$11,2,FALSE),"– ikke tildelt –"))</f>
        <v/>
      </c>
      <c r="L280">
        <f>IF($B280="","",IF($K280&lt;&gt;"",$K280,$J280))</f>
        <v/>
      </c>
      <c r="N280" s="8">
        <f>IF(OR($B280="",$G280=""),"",$B280+VLOOKUP($G280,Oppsett!$H$4:$J$7,2,FALSE)/24)</f>
        <v/>
      </c>
      <c r="O280" s="8">
        <f>IF(OR($B280="",$G280=""),"",$B280+VLOOKUP($G280,Oppsett!$H$4:$J$7,3,FALSE)/24)</f>
        <v/>
      </c>
      <c r="P280" s="8" t="n"/>
      <c r="Q280" s="8" t="n"/>
      <c r="R280">
        <f>IF($B280="","",IF($P280&lt;&gt;"",IF($P280&lt;=$N280,"OK","Påbegynt for sent"),IF(NOW()&gt;$N280,"FORFALT","Innen frist")))</f>
        <v/>
      </c>
      <c r="S280">
        <f>IF($B280="","",IF($Q280&lt;&gt;"",IF($Q280&lt;=$O280,"OK","Løst for sent"),IF(NOW()&gt;$O280,"FORFALT","Innen frist")))</f>
        <v/>
      </c>
      <c r="T280" s="10">
        <f>IF(OR($B280="",$Q280=""),"",ROUND(($Q280-$B280)*24,1))</f>
        <v/>
      </c>
    </row>
    <row r="281">
      <c r="A281">
        <f>IF($B281="","","SAK-"&amp;TEXT(ROW()-1,"0000"))</f>
        <v/>
      </c>
      <c r="B281" s="8">
        <f>IF($C281&amp;$H281="","",IF($B281="",NOW(),$B281))</f>
        <v/>
      </c>
      <c r="J281">
        <f>IF($F281="","",IFERROR(VLOOKUP($F281,Oppsett!$E$4:$F$11,2,FALSE),"– ikke tildelt –"))</f>
        <v/>
      </c>
      <c r="L281">
        <f>IF($B281="","",IF($K281&lt;&gt;"",$K281,$J281))</f>
        <v/>
      </c>
      <c r="N281" s="8">
        <f>IF(OR($B281="",$G281=""),"",$B281+VLOOKUP($G281,Oppsett!$H$4:$J$7,2,FALSE)/24)</f>
        <v/>
      </c>
      <c r="O281" s="8">
        <f>IF(OR($B281="",$G281=""),"",$B281+VLOOKUP($G281,Oppsett!$H$4:$J$7,3,FALSE)/24)</f>
        <v/>
      </c>
      <c r="P281" s="8" t="n"/>
      <c r="Q281" s="8" t="n"/>
      <c r="R281">
        <f>IF($B281="","",IF($P281&lt;&gt;"",IF($P281&lt;=$N281,"OK","Påbegynt for sent"),IF(NOW()&gt;$N281,"FORFALT","Innen frist")))</f>
        <v/>
      </c>
      <c r="S281">
        <f>IF($B281="","",IF($Q281&lt;&gt;"",IF($Q281&lt;=$O281,"OK","Løst for sent"),IF(NOW()&gt;$O281,"FORFALT","Innen frist")))</f>
        <v/>
      </c>
      <c r="T281" s="10">
        <f>IF(OR($B281="",$Q281=""),"",ROUND(($Q281-$B281)*24,1))</f>
        <v/>
      </c>
    </row>
    <row r="282">
      <c r="A282">
        <f>IF($B282="","","SAK-"&amp;TEXT(ROW()-1,"0000"))</f>
        <v/>
      </c>
      <c r="B282" s="8">
        <f>IF($C282&amp;$H282="","",IF($B282="",NOW(),$B282))</f>
        <v/>
      </c>
      <c r="J282">
        <f>IF($F282="","",IFERROR(VLOOKUP($F282,Oppsett!$E$4:$F$11,2,FALSE),"– ikke tildelt –"))</f>
        <v/>
      </c>
      <c r="L282">
        <f>IF($B282="","",IF($K282&lt;&gt;"",$K282,$J282))</f>
        <v/>
      </c>
      <c r="N282" s="8">
        <f>IF(OR($B282="",$G282=""),"",$B282+VLOOKUP($G282,Oppsett!$H$4:$J$7,2,FALSE)/24)</f>
        <v/>
      </c>
      <c r="O282" s="8">
        <f>IF(OR($B282="",$G282=""),"",$B282+VLOOKUP($G282,Oppsett!$H$4:$J$7,3,FALSE)/24)</f>
        <v/>
      </c>
      <c r="P282" s="8" t="n"/>
      <c r="Q282" s="8" t="n"/>
      <c r="R282">
        <f>IF($B282="","",IF($P282&lt;&gt;"",IF($P282&lt;=$N282,"OK","Påbegynt for sent"),IF(NOW()&gt;$N282,"FORFALT","Innen frist")))</f>
        <v/>
      </c>
      <c r="S282">
        <f>IF($B282="","",IF($Q282&lt;&gt;"",IF($Q282&lt;=$O282,"OK","Løst for sent"),IF(NOW()&gt;$O282,"FORFALT","Innen frist")))</f>
        <v/>
      </c>
      <c r="T282" s="10">
        <f>IF(OR($B282="",$Q282=""),"",ROUND(($Q282-$B282)*24,1))</f>
        <v/>
      </c>
    </row>
    <row r="283">
      <c r="A283">
        <f>IF($B283="","","SAK-"&amp;TEXT(ROW()-1,"0000"))</f>
        <v/>
      </c>
      <c r="B283" s="8">
        <f>IF($C283&amp;$H283="","",IF($B283="",NOW(),$B283))</f>
        <v/>
      </c>
      <c r="J283">
        <f>IF($F283="","",IFERROR(VLOOKUP($F283,Oppsett!$E$4:$F$11,2,FALSE),"– ikke tildelt –"))</f>
        <v/>
      </c>
      <c r="L283">
        <f>IF($B283="","",IF($K283&lt;&gt;"",$K283,$J283))</f>
        <v/>
      </c>
      <c r="N283" s="8">
        <f>IF(OR($B283="",$G283=""),"",$B283+VLOOKUP($G283,Oppsett!$H$4:$J$7,2,FALSE)/24)</f>
        <v/>
      </c>
      <c r="O283" s="8">
        <f>IF(OR($B283="",$G283=""),"",$B283+VLOOKUP($G283,Oppsett!$H$4:$J$7,3,FALSE)/24)</f>
        <v/>
      </c>
      <c r="P283" s="8" t="n"/>
      <c r="Q283" s="8" t="n"/>
      <c r="R283">
        <f>IF($B283="","",IF($P283&lt;&gt;"",IF($P283&lt;=$N283,"OK","Påbegynt for sent"),IF(NOW()&gt;$N283,"FORFALT","Innen frist")))</f>
        <v/>
      </c>
      <c r="S283">
        <f>IF($B283="","",IF($Q283&lt;&gt;"",IF($Q283&lt;=$O283,"OK","Løst for sent"),IF(NOW()&gt;$O283,"FORFALT","Innen frist")))</f>
        <v/>
      </c>
      <c r="T283" s="10">
        <f>IF(OR($B283="",$Q283=""),"",ROUND(($Q283-$B283)*24,1))</f>
        <v/>
      </c>
    </row>
    <row r="284">
      <c r="A284">
        <f>IF($B284="","","SAK-"&amp;TEXT(ROW()-1,"0000"))</f>
        <v/>
      </c>
      <c r="B284" s="8">
        <f>IF($C284&amp;$H284="","",IF($B284="",NOW(),$B284))</f>
        <v/>
      </c>
      <c r="J284">
        <f>IF($F284="","",IFERROR(VLOOKUP($F284,Oppsett!$E$4:$F$11,2,FALSE),"– ikke tildelt –"))</f>
        <v/>
      </c>
      <c r="L284">
        <f>IF($B284="","",IF($K284&lt;&gt;"",$K284,$J284))</f>
        <v/>
      </c>
      <c r="N284" s="8">
        <f>IF(OR($B284="",$G284=""),"",$B284+VLOOKUP($G284,Oppsett!$H$4:$J$7,2,FALSE)/24)</f>
        <v/>
      </c>
      <c r="O284" s="8">
        <f>IF(OR($B284="",$G284=""),"",$B284+VLOOKUP($G284,Oppsett!$H$4:$J$7,3,FALSE)/24)</f>
        <v/>
      </c>
      <c r="P284" s="8" t="n"/>
      <c r="Q284" s="8" t="n"/>
      <c r="R284">
        <f>IF($B284="","",IF($P284&lt;&gt;"",IF($P284&lt;=$N284,"OK","Påbegynt for sent"),IF(NOW()&gt;$N284,"FORFALT","Innen frist")))</f>
        <v/>
      </c>
      <c r="S284">
        <f>IF($B284="","",IF($Q284&lt;&gt;"",IF($Q284&lt;=$O284,"OK","Løst for sent"),IF(NOW()&gt;$O284,"FORFALT","Innen frist")))</f>
        <v/>
      </c>
      <c r="T284" s="10">
        <f>IF(OR($B284="",$Q284=""),"",ROUND(($Q284-$B284)*24,1))</f>
        <v/>
      </c>
    </row>
    <row r="285">
      <c r="A285">
        <f>IF($B285="","","SAK-"&amp;TEXT(ROW()-1,"0000"))</f>
        <v/>
      </c>
      <c r="B285" s="8">
        <f>IF($C285&amp;$H285="","",IF($B285="",NOW(),$B285))</f>
        <v/>
      </c>
      <c r="J285">
        <f>IF($F285="","",IFERROR(VLOOKUP($F285,Oppsett!$E$4:$F$11,2,FALSE),"– ikke tildelt –"))</f>
        <v/>
      </c>
      <c r="L285">
        <f>IF($B285="","",IF($K285&lt;&gt;"",$K285,$J285))</f>
        <v/>
      </c>
      <c r="N285" s="8">
        <f>IF(OR($B285="",$G285=""),"",$B285+VLOOKUP($G285,Oppsett!$H$4:$J$7,2,FALSE)/24)</f>
        <v/>
      </c>
      <c r="O285" s="8">
        <f>IF(OR($B285="",$G285=""),"",$B285+VLOOKUP($G285,Oppsett!$H$4:$J$7,3,FALSE)/24)</f>
        <v/>
      </c>
      <c r="P285" s="8" t="n"/>
      <c r="Q285" s="8" t="n"/>
      <c r="R285">
        <f>IF($B285="","",IF($P285&lt;&gt;"",IF($P285&lt;=$N285,"OK","Påbegynt for sent"),IF(NOW()&gt;$N285,"FORFALT","Innen frist")))</f>
        <v/>
      </c>
      <c r="S285">
        <f>IF($B285="","",IF($Q285&lt;&gt;"",IF($Q285&lt;=$O285,"OK","Løst for sent"),IF(NOW()&gt;$O285,"FORFALT","Innen frist")))</f>
        <v/>
      </c>
      <c r="T285" s="10">
        <f>IF(OR($B285="",$Q285=""),"",ROUND(($Q285-$B285)*24,1))</f>
        <v/>
      </c>
    </row>
    <row r="286">
      <c r="A286">
        <f>IF($B286="","","SAK-"&amp;TEXT(ROW()-1,"0000"))</f>
        <v/>
      </c>
      <c r="B286" s="8">
        <f>IF($C286&amp;$H286="","",IF($B286="",NOW(),$B286))</f>
        <v/>
      </c>
      <c r="J286">
        <f>IF($F286="","",IFERROR(VLOOKUP($F286,Oppsett!$E$4:$F$11,2,FALSE),"– ikke tildelt –"))</f>
        <v/>
      </c>
      <c r="L286">
        <f>IF($B286="","",IF($K286&lt;&gt;"",$K286,$J286))</f>
        <v/>
      </c>
      <c r="N286" s="8">
        <f>IF(OR($B286="",$G286=""),"",$B286+VLOOKUP($G286,Oppsett!$H$4:$J$7,2,FALSE)/24)</f>
        <v/>
      </c>
      <c r="O286" s="8">
        <f>IF(OR($B286="",$G286=""),"",$B286+VLOOKUP($G286,Oppsett!$H$4:$J$7,3,FALSE)/24)</f>
        <v/>
      </c>
      <c r="P286" s="8" t="n"/>
      <c r="Q286" s="8" t="n"/>
      <c r="R286">
        <f>IF($B286="","",IF($P286&lt;&gt;"",IF($P286&lt;=$N286,"OK","Påbegynt for sent"),IF(NOW()&gt;$N286,"FORFALT","Innen frist")))</f>
        <v/>
      </c>
      <c r="S286">
        <f>IF($B286="","",IF($Q286&lt;&gt;"",IF($Q286&lt;=$O286,"OK","Løst for sent"),IF(NOW()&gt;$O286,"FORFALT","Innen frist")))</f>
        <v/>
      </c>
      <c r="T286" s="10">
        <f>IF(OR($B286="",$Q286=""),"",ROUND(($Q286-$B286)*24,1))</f>
        <v/>
      </c>
    </row>
    <row r="287">
      <c r="A287">
        <f>IF($B287="","","SAK-"&amp;TEXT(ROW()-1,"0000"))</f>
        <v/>
      </c>
      <c r="B287" s="8">
        <f>IF($C287&amp;$H287="","",IF($B287="",NOW(),$B287))</f>
        <v/>
      </c>
      <c r="J287">
        <f>IF($F287="","",IFERROR(VLOOKUP($F287,Oppsett!$E$4:$F$11,2,FALSE),"– ikke tildelt –"))</f>
        <v/>
      </c>
      <c r="L287">
        <f>IF($B287="","",IF($K287&lt;&gt;"",$K287,$J287))</f>
        <v/>
      </c>
      <c r="N287" s="8">
        <f>IF(OR($B287="",$G287=""),"",$B287+VLOOKUP($G287,Oppsett!$H$4:$J$7,2,FALSE)/24)</f>
        <v/>
      </c>
      <c r="O287" s="8">
        <f>IF(OR($B287="",$G287=""),"",$B287+VLOOKUP($G287,Oppsett!$H$4:$J$7,3,FALSE)/24)</f>
        <v/>
      </c>
      <c r="P287" s="8" t="n"/>
      <c r="Q287" s="8" t="n"/>
      <c r="R287">
        <f>IF($B287="","",IF($P287&lt;&gt;"",IF($P287&lt;=$N287,"OK","Påbegynt for sent"),IF(NOW()&gt;$N287,"FORFALT","Innen frist")))</f>
        <v/>
      </c>
      <c r="S287">
        <f>IF($B287="","",IF($Q287&lt;&gt;"",IF($Q287&lt;=$O287,"OK","Løst for sent"),IF(NOW()&gt;$O287,"FORFALT","Innen frist")))</f>
        <v/>
      </c>
      <c r="T287" s="10">
        <f>IF(OR($B287="",$Q287=""),"",ROUND(($Q287-$B287)*24,1))</f>
        <v/>
      </c>
    </row>
    <row r="288">
      <c r="A288">
        <f>IF($B288="","","SAK-"&amp;TEXT(ROW()-1,"0000"))</f>
        <v/>
      </c>
      <c r="B288" s="8">
        <f>IF($C288&amp;$H288="","",IF($B288="",NOW(),$B288))</f>
        <v/>
      </c>
      <c r="J288">
        <f>IF($F288="","",IFERROR(VLOOKUP($F288,Oppsett!$E$4:$F$11,2,FALSE),"– ikke tildelt –"))</f>
        <v/>
      </c>
      <c r="L288">
        <f>IF($B288="","",IF($K288&lt;&gt;"",$K288,$J288))</f>
        <v/>
      </c>
      <c r="N288" s="8">
        <f>IF(OR($B288="",$G288=""),"",$B288+VLOOKUP($G288,Oppsett!$H$4:$J$7,2,FALSE)/24)</f>
        <v/>
      </c>
      <c r="O288" s="8">
        <f>IF(OR($B288="",$G288=""),"",$B288+VLOOKUP($G288,Oppsett!$H$4:$J$7,3,FALSE)/24)</f>
        <v/>
      </c>
      <c r="P288" s="8" t="n"/>
      <c r="Q288" s="8" t="n"/>
      <c r="R288">
        <f>IF($B288="","",IF($P288&lt;&gt;"",IF($P288&lt;=$N288,"OK","Påbegynt for sent"),IF(NOW()&gt;$N288,"FORFALT","Innen frist")))</f>
        <v/>
      </c>
      <c r="S288">
        <f>IF($B288="","",IF($Q288&lt;&gt;"",IF($Q288&lt;=$O288,"OK","Løst for sent"),IF(NOW()&gt;$O288,"FORFALT","Innen frist")))</f>
        <v/>
      </c>
      <c r="T288" s="10">
        <f>IF(OR($B288="",$Q288=""),"",ROUND(($Q288-$B288)*24,1))</f>
        <v/>
      </c>
    </row>
    <row r="289">
      <c r="A289">
        <f>IF($B289="","","SAK-"&amp;TEXT(ROW()-1,"0000"))</f>
        <v/>
      </c>
      <c r="B289" s="8">
        <f>IF($C289&amp;$H289="","",IF($B289="",NOW(),$B289))</f>
        <v/>
      </c>
      <c r="J289">
        <f>IF($F289="","",IFERROR(VLOOKUP($F289,Oppsett!$E$4:$F$11,2,FALSE),"– ikke tildelt –"))</f>
        <v/>
      </c>
      <c r="L289">
        <f>IF($B289="","",IF($K289&lt;&gt;"",$K289,$J289))</f>
        <v/>
      </c>
      <c r="N289" s="8">
        <f>IF(OR($B289="",$G289=""),"",$B289+VLOOKUP($G289,Oppsett!$H$4:$J$7,2,FALSE)/24)</f>
        <v/>
      </c>
      <c r="O289" s="8">
        <f>IF(OR($B289="",$G289=""),"",$B289+VLOOKUP($G289,Oppsett!$H$4:$J$7,3,FALSE)/24)</f>
        <v/>
      </c>
      <c r="P289" s="8" t="n"/>
      <c r="Q289" s="8" t="n"/>
      <c r="R289">
        <f>IF($B289="","",IF($P289&lt;&gt;"",IF($P289&lt;=$N289,"OK","Påbegynt for sent"),IF(NOW()&gt;$N289,"FORFALT","Innen frist")))</f>
        <v/>
      </c>
      <c r="S289">
        <f>IF($B289="","",IF($Q289&lt;&gt;"",IF($Q289&lt;=$O289,"OK","Løst for sent"),IF(NOW()&gt;$O289,"FORFALT","Innen frist")))</f>
        <v/>
      </c>
      <c r="T289" s="10">
        <f>IF(OR($B289="",$Q289=""),"",ROUND(($Q289-$B289)*24,1))</f>
        <v/>
      </c>
    </row>
    <row r="290">
      <c r="A290">
        <f>IF($B290="","","SAK-"&amp;TEXT(ROW()-1,"0000"))</f>
        <v/>
      </c>
      <c r="B290" s="8">
        <f>IF($C290&amp;$H290="","",IF($B290="",NOW(),$B290))</f>
        <v/>
      </c>
      <c r="J290">
        <f>IF($F290="","",IFERROR(VLOOKUP($F290,Oppsett!$E$4:$F$11,2,FALSE),"– ikke tildelt –"))</f>
        <v/>
      </c>
      <c r="L290">
        <f>IF($B290="","",IF($K290&lt;&gt;"",$K290,$J290))</f>
        <v/>
      </c>
      <c r="N290" s="8">
        <f>IF(OR($B290="",$G290=""),"",$B290+VLOOKUP($G290,Oppsett!$H$4:$J$7,2,FALSE)/24)</f>
        <v/>
      </c>
      <c r="O290" s="8">
        <f>IF(OR($B290="",$G290=""),"",$B290+VLOOKUP($G290,Oppsett!$H$4:$J$7,3,FALSE)/24)</f>
        <v/>
      </c>
      <c r="P290" s="8" t="n"/>
      <c r="Q290" s="8" t="n"/>
      <c r="R290">
        <f>IF($B290="","",IF($P290&lt;&gt;"",IF($P290&lt;=$N290,"OK","Påbegynt for sent"),IF(NOW()&gt;$N290,"FORFALT","Innen frist")))</f>
        <v/>
      </c>
      <c r="S290">
        <f>IF($B290="","",IF($Q290&lt;&gt;"",IF($Q290&lt;=$O290,"OK","Løst for sent"),IF(NOW()&gt;$O290,"FORFALT","Innen frist")))</f>
        <v/>
      </c>
      <c r="T290" s="10">
        <f>IF(OR($B290="",$Q290=""),"",ROUND(($Q290-$B290)*24,1))</f>
        <v/>
      </c>
    </row>
    <row r="291">
      <c r="A291">
        <f>IF($B291="","","SAK-"&amp;TEXT(ROW()-1,"0000"))</f>
        <v/>
      </c>
      <c r="B291" s="8">
        <f>IF($C291&amp;$H291="","",IF($B291="",NOW(),$B291))</f>
        <v/>
      </c>
      <c r="J291">
        <f>IF($F291="","",IFERROR(VLOOKUP($F291,Oppsett!$E$4:$F$11,2,FALSE),"– ikke tildelt –"))</f>
        <v/>
      </c>
      <c r="L291">
        <f>IF($B291="","",IF($K291&lt;&gt;"",$K291,$J291))</f>
        <v/>
      </c>
      <c r="N291" s="8">
        <f>IF(OR($B291="",$G291=""),"",$B291+VLOOKUP($G291,Oppsett!$H$4:$J$7,2,FALSE)/24)</f>
        <v/>
      </c>
      <c r="O291" s="8">
        <f>IF(OR($B291="",$G291=""),"",$B291+VLOOKUP($G291,Oppsett!$H$4:$J$7,3,FALSE)/24)</f>
        <v/>
      </c>
      <c r="P291" s="8" t="n"/>
      <c r="Q291" s="8" t="n"/>
      <c r="R291">
        <f>IF($B291="","",IF($P291&lt;&gt;"",IF($P291&lt;=$N291,"OK","Påbegynt for sent"),IF(NOW()&gt;$N291,"FORFALT","Innen frist")))</f>
        <v/>
      </c>
      <c r="S291">
        <f>IF($B291="","",IF($Q291&lt;&gt;"",IF($Q291&lt;=$O291,"OK","Løst for sent"),IF(NOW()&gt;$O291,"FORFALT","Innen frist")))</f>
        <v/>
      </c>
      <c r="T291" s="10">
        <f>IF(OR($B291="",$Q291=""),"",ROUND(($Q291-$B291)*24,1))</f>
        <v/>
      </c>
    </row>
    <row r="292">
      <c r="A292">
        <f>IF($B292="","","SAK-"&amp;TEXT(ROW()-1,"0000"))</f>
        <v/>
      </c>
      <c r="B292" s="8">
        <f>IF($C292&amp;$H292="","",IF($B292="",NOW(),$B292))</f>
        <v/>
      </c>
      <c r="J292">
        <f>IF($F292="","",IFERROR(VLOOKUP($F292,Oppsett!$E$4:$F$11,2,FALSE),"– ikke tildelt –"))</f>
        <v/>
      </c>
      <c r="L292">
        <f>IF($B292="","",IF($K292&lt;&gt;"",$K292,$J292))</f>
        <v/>
      </c>
      <c r="N292" s="8">
        <f>IF(OR($B292="",$G292=""),"",$B292+VLOOKUP($G292,Oppsett!$H$4:$J$7,2,FALSE)/24)</f>
        <v/>
      </c>
      <c r="O292" s="8">
        <f>IF(OR($B292="",$G292=""),"",$B292+VLOOKUP($G292,Oppsett!$H$4:$J$7,3,FALSE)/24)</f>
        <v/>
      </c>
      <c r="P292" s="8" t="n"/>
      <c r="Q292" s="8" t="n"/>
      <c r="R292">
        <f>IF($B292="","",IF($P292&lt;&gt;"",IF($P292&lt;=$N292,"OK","Påbegynt for sent"),IF(NOW()&gt;$N292,"FORFALT","Innen frist")))</f>
        <v/>
      </c>
      <c r="S292">
        <f>IF($B292="","",IF($Q292&lt;&gt;"",IF($Q292&lt;=$O292,"OK","Løst for sent"),IF(NOW()&gt;$O292,"FORFALT","Innen frist")))</f>
        <v/>
      </c>
      <c r="T292" s="10">
        <f>IF(OR($B292="",$Q292=""),"",ROUND(($Q292-$B292)*24,1))</f>
        <v/>
      </c>
    </row>
    <row r="293">
      <c r="A293">
        <f>IF($B293="","","SAK-"&amp;TEXT(ROW()-1,"0000"))</f>
        <v/>
      </c>
      <c r="B293" s="8">
        <f>IF($C293&amp;$H293="","",IF($B293="",NOW(),$B293))</f>
        <v/>
      </c>
      <c r="J293">
        <f>IF($F293="","",IFERROR(VLOOKUP($F293,Oppsett!$E$4:$F$11,2,FALSE),"– ikke tildelt –"))</f>
        <v/>
      </c>
      <c r="L293">
        <f>IF($B293="","",IF($K293&lt;&gt;"",$K293,$J293))</f>
        <v/>
      </c>
      <c r="N293" s="8">
        <f>IF(OR($B293="",$G293=""),"",$B293+VLOOKUP($G293,Oppsett!$H$4:$J$7,2,FALSE)/24)</f>
        <v/>
      </c>
      <c r="O293" s="8">
        <f>IF(OR($B293="",$G293=""),"",$B293+VLOOKUP($G293,Oppsett!$H$4:$J$7,3,FALSE)/24)</f>
        <v/>
      </c>
      <c r="P293" s="8" t="n"/>
      <c r="Q293" s="8" t="n"/>
      <c r="R293">
        <f>IF($B293="","",IF($P293&lt;&gt;"",IF($P293&lt;=$N293,"OK","Påbegynt for sent"),IF(NOW()&gt;$N293,"FORFALT","Innen frist")))</f>
        <v/>
      </c>
      <c r="S293">
        <f>IF($B293="","",IF($Q293&lt;&gt;"",IF($Q293&lt;=$O293,"OK","Løst for sent"),IF(NOW()&gt;$O293,"FORFALT","Innen frist")))</f>
        <v/>
      </c>
      <c r="T293" s="10">
        <f>IF(OR($B293="",$Q293=""),"",ROUND(($Q293-$B293)*24,1))</f>
        <v/>
      </c>
    </row>
    <row r="294">
      <c r="A294">
        <f>IF($B294="","","SAK-"&amp;TEXT(ROW()-1,"0000"))</f>
        <v/>
      </c>
      <c r="B294" s="8">
        <f>IF($C294&amp;$H294="","",IF($B294="",NOW(),$B294))</f>
        <v/>
      </c>
      <c r="J294">
        <f>IF($F294="","",IFERROR(VLOOKUP($F294,Oppsett!$E$4:$F$11,2,FALSE),"– ikke tildelt –"))</f>
        <v/>
      </c>
      <c r="L294">
        <f>IF($B294="","",IF($K294&lt;&gt;"",$K294,$J294))</f>
        <v/>
      </c>
      <c r="N294" s="8">
        <f>IF(OR($B294="",$G294=""),"",$B294+VLOOKUP($G294,Oppsett!$H$4:$J$7,2,FALSE)/24)</f>
        <v/>
      </c>
      <c r="O294" s="8">
        <f>IF(OR($B294="",$G294=""),"",$B294+VLOOKUP($G294,Oppsett!$H$4:$J$7,3,FALSE)/24)</f>
        <v/>
      </c>
      <c r="P294" s="8" t="n"/>
      <c r="Q294" s="8" t="n"/>
      <c r="R294">
        <f>IF($B294="","",IF($P294&lt;&gt;"",IF($P294&lt;=$N294,"OK","Påbegynt for sent"),IF(NOW()&gt;$N294,"FORFALT","Innen frist")))</f>
        <v/>
      </c>
      <c r="S294">
        <f>IF($B294="","",IF($Q294&lt;&gt;"",IF($Q294&lt;=$O294,"OK","Løst for sent"),IF(NOW()&gt;$O294,"FORFALT","Innen frist")))</f>
        <v/>
      </c>
      <c r="T294" s="10">
        <f>IF(OR($B294="",$Q294=""),"",ROUND(($Q294-$B294)*24,1))</f>
        <v/>
      </c>
    </row>
    <row r="295">
      <c r="A295">
        <f>IF($B295="","","SAK-"&amp;TEXT(ROW()-1,"0000"))</f>
        <v/>
      </c>
      <c r="B295" s="8">
        <f>IF($C295&amp;$H295="","",IF($B295="",NOW(),$B295))</f>
        <v/>
      </c>
      <c r="J295">
        <f>IF($F295="","",IFERROR(VLOOKUP($F295,Oppsett!$E$4:$F$11,2,FALSE),"– ikke tildelt –"))</f>
        <v/>
      </c>
      <c r="L295">
        <f>IF($B295="","",IF($K295&lt;&gt;"",$K295,$J295))</f>
        <v/>
      </c>
      <c r="N295" s="8">
        <f>IF(OR($B295="",$G295=""),"",$B295+VLOOKUP($G295,Oppsett!$H$4:$J$7,2,FALSE)/24)</f>
        <v/>
      </c>
      <c r="O295" s="8">
        <f>IF(OR($B295="",$G295=""),"",$B295+VLOOKUP($G295,Oppsett!$H$4:$J$7,3,FALSE)/24)</f>
        <v/>
      </c>
      <c r="P295" s="8" t="n"/>
      <c r="Q295" s="8" t="n"/>
      <c r="R295">
        <f>IF($B295="","",IF($P295&lt;&gt;"",IF($P295&lt;=$N295,"OK","Påbegynt for sent"),IF(NOW()&gt;$N295,"FORFALT","Innen frist")))</f>
        <v/>
      </c>
      <c r="S295">
        <f>IF($B295="","",IF($Q295&lt;&gt;"",IF($Q295&lt;=$O295,"OK","Løst for sent"),IF(NOW()&gt;$O295,"FORFALT","Innen frist")))</f>
        <v/>
      </c>
      <c r="T295" s="10">
        <f>IF(OR($B295="",$Q295=""),"",ROUND(($Q295-$B295)*24,1))</f>
        <v/>
      </c>
    </row>
    <row r="296">
      <c r="A296">
        <f>IF($B296="","","SAK-"&amp;TEXT(ROW()-1,"0000"))</f>
        <v/>
      </c>
      <c r="B296" s="8">
        <f>IF($C296&amp;$H296="","",IF($B296="",NOW(),$B296))</f>
        <v/>
      </c>
      <c r="J296">
        <f>IF($F296="","",IFERROR(VLOOKUP($F296,Oppsett!$E$4:$F$11,2,FALSE),"– ikke tildelt –"))</f>
        <v/>
      </c>
      <c r="L296">
        <f>IF($B296="","",IF($K296&lt;&gt;"",$K296,$J296))</f>
        <v/>
      </c>
      <c r="N296" s="8">
        <f>IF(OR($B296="",$G296=""),"",$B296+VLOOKUP($G296,Oppsett!$H$4:$J$7,2,FALSE)/24)</f>
        <v/>
      </c>
      <c r="O296" s="8">
        <f>IF(OR($B296="",$G296=""),"",$B296+VLOOKUP($G296,Oppsett!$H$4:$J$7,3,FALSE)/24)</f>
        <v/>
      </c>
      <c r="P296" s="8" t="n"/>
      <c r="Q296" s="8" t="n"/>
      <c r="R296">
        <f>IF($B296="","",IF($P296&lt;&gt;"",IF($P296&lt;=$N296,"OK","Påbegynt for sent"),IF(NOW()&gt;$N296,"FORFALT","Innen frist")))</f>
        <v/>
      </c>
      <c r="S296">
        <f>IF($B296="","",IF($Q296&lt;&gt;"",IF($Q296&lt;=$O296,"OK","Løst for sent"),IF(NOW()&gt;$O296,"FORFALT","Innen frist")))</f>
        <v/>
      </c>
      <c r="T296" s="10">
        <f>IF(OR($B296="",$Q296=""),"",ROUND(($Q296-$B296)*24,1))</f>
        <v/>
      </c>
    </row>
    <row r="297">
      <c r="A297">
        <f>IF($B297="","","SAK-"&amp;TEXT(ROW()-1,"0000"))</f>
        <v/>
      </c>
      <c r="B297" s="8">
        <f>IF($C297&amp;$H297="","",IF($B297="",NOW(),$B297))</f>
        <v/>
      </c>
      <c r="J297">
        <f>IF($F297="","",IFERROR(VLOOKUP($F297,Oppsett!$E$4:$F$11,2,FALSE),"– ikke tildelt –"))</f>
        <v/>
      </c>
      <c r="L297">
        <f>IF($B297="","",IF($K297&lt;&gt;"",$K297,$J297))</f>
        <v/>
      </c>
      <c r="N297" s="8">
        <f>IF(OR($B297="",$G297=""),"",$B297+VLOOKUP($G297,Oppsett!$H$4:$J$7,2,FALSE)/24)</f>
        <v/>
      </c>
      <c r="O297" s="8">
        <f>IF(OR($B297="",$G297=""),"",$B297+VLOOKUP($G297,Oppsett!$H$4:$J$7,3,FALSE)/24)</f>
        <v/>
      </c>
      <c r="P297" s="8" t="n"/>
      <c r="Q297" s="8" t="n"/>
      <c r="R297">
        <f>IF($B297="","",IF($P297&lt;&gt;"",IF($P297&lt;=$N297,"OK","Påbegynt for sent"),IF(NOW()&gt;$N297,"FORFALT","Innen frist")))</f>
        <v/>
      </c>
      <c r="S297">
        <f>IF($B297="","",IF($Q297&lt;&gt;"",IF($Q297&lt;=$O297,"OK","Løst for sent"),IF(NOW()&gt;$O297,"FORFALT","Innen frist")))</f>
        <v/>
      </c>
      <c r="T297" s="10">
        <f>IF(OR($B297="",$Q297=""),"",ROUND(($Q297-$B297)*24,1))</f>
        <v/>
      </c>
    </row>
    <row r="298">
      <c r="A298">
        <f>IF($B298="","","SAK-"&amp;TEXT(ROW()-1,"0000"))</f>
        <v/>
      </c>
      <c r="B298" s="8">
        <f>IF($C298&amp;$H298="","",IF($B298="",NOW(),$B298))</f>
        <v/>
      </c>
      <c r="J298">
        <f>IF($F298="","",IFERROR(VLOOKUP($F298,Oppsett!$E$4:$F$11,2,FALSE),"– ikke tildelt –"))</f>
        <v/>
      </c>
      <c r="L298">
        <f>IF($B298="","",IF($K298&lt;&gt;"",$K298,$J298))</f>
        <v/>
      </c>
      <c r="N298" s="8">
        <f>IF(OR($B298="",$G298=""),"",$B298+VLOOKUP($G298,Oppsett!$H$4:$J$7,2,FALSE)/24)</f>
        <v/>
      </c>
      <c r="O298" s="8">
        <f>IF(OR($B298="",$G298=""),"",$B298+VLOOKUP($G298,Oppsett!$H$4:$J$7,3,FALSE)/24)</f>
        <v/>
      </c>
      <c r="P298" s="8" t="n"/>
      <c r="Q298" s="8" t="n"/>
      <c r="R298">
        <f>IF($B298="","",IF($P298&lt;&gt;"",IF($P298&lt;=$N298,"OK","Påbegynt for sent"),IF(NOW()&gt;$N298,"FORFALT","Innen frist")))</f>
        <v/>
      </c>
      <c r="S298">
        <f>IF($B298="","",IF($Q298&lt;&gt;"",IF($Q298&lt;=$O298,"OK","Løst for sent"),IF(NOW()&gt;$O298,"FORFALT","Innen frist")))</f>
        <v/>
      </c>
      <c r="T298" s="10">
        <f>IF(OR($B298="",$Q298=""),"",ROUND(($Q298-$B298)*24,1))</f>
        <v/>
      </c>
    </row>
    <row r="299">
      <c r="A299">
        <f>IF($B299="","","SAK-"&amp;TEXT(ROW()-1,"0000"))</f>
        <v/>
      </c>
      <c r="B299" s="8">
        <f>IF($C299&amp;$H299="","",IF($B299="",NOW(),$B299))</f>
        <v/>
      </c>
      <c r="J299">
        <f>IF($F299="","",IFERROR(VLOOKUP($F299,Oppsett!$E$4:$F$11,2,FALSE),"– ikke tildelt –"))</f>
        <v/>
      </c>
      <c r="L299">
        <f>IF($B299="","",IF($K299&lt;&gt;"",$K299,$J299))</f>
        <v/>
      </c>
      <c r="N299" s="8">
        <f>IF(OR($B299="",$G299=""),"",$B299+VLOOKUP($G299,Oppsett!$H$4:$J$7,2,FALSE)/24)</f>
        <v/>
      </c>
      <c r="O299" s="8">
        <f>IF(OR($B299="",$G299=""),"",$B299+VLOOKUP($G299,Oppsett!$H$4:$J$7,3,FALSE)/24)</f>
        <v/>
      </c>
      <c r="P299" s="8" t="n"/>
      <c r="Q299" s="8" t="n"/>
      <c r="R299">
        <f>IF($B299="","",IF($P299&lt;&gt;"",IF($P299&lt;=$N299,"OK","Påbegynt for sent"),IF(NOW()&gt;$N299,"FORFALT","Innen frist")))</f>
        <v/>
      </c>
      <c r="S299">
        <f>IF($B299="","",IF($Q299&lt;&gt;"",IF($Q299&lt;=$O299,"OK","Løst for sent"),IF(NOW()&gt;$O299,"FORFALT","Innen frist")))</f>
        <v/>
      </c>
      <c r="T299" s="10">
        <f>IF(OR($B299="",$Q299=""),"",ROUND(($Q299-$B299)*24,1))</f>
        <v/>
      </c>
    </row>
    <row r="300">
      <c r="A300">
        <f>IF($B300="","","SAK-"&amp;TEXT(ROW()-1,"0000"))</f>
        <v/>
      </c>
      <c r="B300" s="8">
        <f>IF($C300&amp;$H300="","",IF($B300="",NOW(),$B300))</f>
        <v/>
      </c>
      <c r="J300">
        <f>IF($F300="","",IFERROR(VLOOKUP($F300,Oppsett!$E$4:$F$11,2,FALSE),"– ikke tildelt –"))</f>
        <v/>
      </c>
      <c r="L300">
        <f>IF($B300="","",IF($K300&lt;&gt;"",$K300,$J300))</f>
        <v/>
      </c>
      <c r="N300" s="8">
        <f>IF(OR($B300="",$G300=""),"",$B300+VLOOKUP($G300,Oppsett!$H$4:$J$7,2,FALSE)/24)</f>
        <v/>
      </c>
      <c r="O300" s="8">
        <f>IF(OR($B300="",$G300=""),"",$B300+VLOOKUP($G300,Oppsett!$H$4:$J$7,3,FALSE)/24)</f>
        <v/>
      </c>
      <c r="P300" s="8" t="n"/>
      <c r="Q300" s="8" t="n"/>
      <c r="R300">
        <f>IF($B300="","",IF($P300&lt;&gt;"",IF($P300&lt;=$N300,"OK","Påbegynt for sent"),IF(NOW()&gt;$N300,"FORFALT","Innen frist")))</f>
        <v/>
      </c>
      <c r="S300">
        <f>IF($B300="","",IF($Q300&lt;&gt;"",IF($Q300&lt;=$O300,"OK","Løst for sent"),IF(NOW()&gt;$O300,"FORFALT","Innen frist")))</f>
        <v/>
      </c>
      <c r="T300" s="10">
        <f>IF(OR($B300="",$Q300=""),"",ROUND(($Q300-$B300)*24,1))</f>
        <v/>
      </c>
    </row>
    <row r="301">
      <c r="A301">
        <f>IF($B301="","","SAK-"&amp;TEXT(ROW()-1,"0000"))</f>
        <v/>
      </c>
      <c r="B301" s="8">
        <f>IF($C301&amp;$H301="","",IF($B301="",NOW(),$B301))</f>
        <v/>
      </c>
      <c r="J301">
        <f>IF($F301="","",IFERROR(VLOOKUP($F301,Oppsett!$E$4:$F$11,2,FALSE),"– ikke tildelt –"))</f>
        <v/>
      </c>
      <c r="L301">
        <f>IF($B301="","",IF($K301&lt;&gt;"",$K301,$J301))</f>
        <v/>
      </c>
      <c r="N301" s="8">
        <f>IF(OR($B301="",$G301=""),"",$B301+VLOOKUP($G301,Oppsett!$H$4:$J$7,2,FALSE)/24)</f>
        <v/>
      </c>
      <c r="O301" s="8">
        <f>IF(OR($B301="",$G301=""),"",$B301+VLOOKUP($G301,Oppsett!$H$4:$J$7,3,FALSE)/24)</f>
        <v/>
      </c>
      <c r="P301" s="8" t="n"/>
      <c r="Q301" s="8" t="n"/>
      <c r="R301">
        <f>IF($B301="","",IF($P301&lt;&gt;"",IF($P301&lt;=$N301,"OK","Påbegynt for sent"),IF(NOW()&gt;$N301,"FORFALT","Innen frist")))</f>
        <v/>
      </c>
      <c r="S301">
        <f>IF($B301="","",IF($Q301&lt;&gt;"",IF($Q301&lt;=$O301,"OK","Løst for sent"),IF(NOW()&gt;$O301,"FORFALT","Innen frist")))</f>
        <v/>
      </c>
      <c r="T301" s="10">
        <f>IF(OR($B301="",$Q301=""),"",ROUND(($Q301-$B301)*24,1))</f>
        <v/>
      </c>
    </row>
    <row r="302">
      <c r="A302">
        <f>IF($B302="","","SAK-"&amp;TEXT(ROW()-1,"0000"))</f>
        <v/>
      </c>
      <c r="B302" s="8">
        <f>IF($C302&amp;$H302="","",IF($B302="",NOW(),$B302))</f>
        <v/>
      </c>
      <c r="J302">
        <f>IF($F302="","",IFERROR(VLOOKUP($F302,Oppsett!$E$4:$F$11,2,FALSE),"– ikke tildelt –"))</f>
        <v/>
      </c>
      <c r="L302">
        <f>IF($B302="","",IF($K302&lt;&gt;"",$K302,$J302))</f>
        <v/>
      </c>
      <c r="N302" s="8">
        <f>IF(OR($B302="",$G302=""),"",$B302+VLOOKUP($G302,Oppsett!$H$4:$J$7,2,FALSE)/24)</f>
        <v/>
      </c>
      <c r="O302" s="8">
        <f>IF(OR($B302="",$G302=""),"",$B302+VLOOKUP($G302,Oppsett!$H$4:$J$7,3,FALSE)/24)</f>
        <v/>
      </c>
      <c r="P302" s="8" t="n"/>
      <c r="Q302" s="8" t="n"/>
      <c r="R302">
        <f>IF($B302="","",IF($P302&lt;&gt;"",IF($P302&lt;=$N302,"OK","Påbegynt for sent"),IF(NOW()&gt;$N302,"FORFALT","Innen frist")))</f>
        <v/>
      </c>
      <c r="S302">
        <f>IF($B302="","",IF($Q302&lt;&gt;"",IF($Q302&lt;=$O302,"OK","Løst for sent"),IF(NOW()&gt;$O302,"FORFALT","Innen frist")))</f>
        <v/>
      </c>
      <c r="T302" s="10">
        <f>IF(OR($B302="",$Q302=""),"",ROUND(($Q302-$B302)*24,1))</f>
        <v/>
      </c>
    </row>
    <row r="303">
      <c r="A303">
        <f>IF($B303="","","SAK-"&amp;TEXT(ROW()-1,"0000"))</f>
        <v/>
      </c>
      <c r="B303" s="8">
        <f>IF($C303&amp;$H303="","",IF($B303="",NOW(),$B303))</f>
        <v/>
      </c>
      <c r="J303">
        <f>IF($F303="","",IFERROR(VLOOKUP($F303,Oppsett!$E$4:$F$11,2,FALSE),"– ikke tildelt –"))</f>
        <v/>
      </c>
      <c r="L303">
        <f>IF($B303="","",IF($K303&lt;&gt;"",$K303,$J303))</f>
        <v/>
      </c>
      <c r="N303" s="8">
        <f>IF(OR($B303="",$G303=""),"",$B303+VLOOKUP($G303,Oppsett!$H$4:$J$7,2,FALSE)/24)</f>
        <v/>
      </c>
      <c r="O303" s="8">
        <f>IF(OR($B303="",$G303=""),"",$B303+VLOOKUP($G303,Oppsett!$H$4:$J$7,3,FALSE)/24)</f>
        <v/>
      </c>
      <c r="P303" s="8" t="n"/>
      <c r="Q303" s="8" t="n"/>
      <c r="R303">
        <f>IF($B303="","",IF($P303&lt;&gt;"",IF($P303&lt;=$N303,"OK","Påbegynt for sent"),IF(NOW()&gt;$N303,"FORFALT","Innen frist")))</f>
        <v/>
      </c>
      <c r="S303">
        <f>IF($B303="","",IF($Q303&lt;&gt;"",IF($Q303&lt;=$O303,"OK","Løst for sent"),IF(NOW()&gt;$O303,"FORFALT","Innen frist")))</f>
        <v/>
      </c>
      <c r="T303" s="10">
        <f>IF(OR($B303="",$Q303=""),"",ROUND(($Q303-$B303)*24,1))</f>
        <v/>
      </c>
    </row>
    <row r="304">
      <c r="A304">
        <f>IF($B304="","","SAK-"&amp;TEXT(ROW()-1,"0000"))</f>
        <v/>
      </c>
      <c r="B304" s="8">
        <f>IF($C304&amp;$H304="","",IF($B304="",NOW(),$B304))</f>
        <v/>
      </c>
      <c r="J304">
        <f>IF($F304="","",IFERROR(VLOOKUP($F304,Oppsett!$E$4:$F$11,2,FALSE),"– ikke tildelt –"))</f>
        <v/>
      </c>
      <c r="L304">
        <f>IF($B304="","",IF($K304&lt;&gt;"",$K304,$J304))</f>
        <v/>
      </c>
      <c r="N304" s="8">
        <f>IF(OR($B304="",$G304=""),"",$B304+VLOOKUP($G304,Oppsett!$H$4:$J$7,2,FALSE)/24)</f>
        <v/>
      </c>
      <c r="O304" s="8">
        <f>IF(OR($B304="",$G304=""),"",$B304+VLOOKUP($G304,Oppsett!$H$4:$J$7,3,FALSE)/24)</f>
        <v/>
      </c>
      <c r="P304" s="8" t="n"/>
      <c r="Q304" s="8" t="n"/>
      <c r="R304">
        <f>IF($B304="","",IF($P304&lt;&gt;"",IF($P304&lt;=$N304,"OK","Påbegynt for sent"),IF(NOW()&gt;$N304,"FORFALT","Innen frist")))</f>
        <v/>
      </c>
      <c r="S304">
        <f>IF($B304="","",IF($Q304&lt;&gt;"",IF($Q304&lt;=$O304,"OK","Løst for sent"),IF(NOW()&gt;$O304,"FORFALT","Innen frist")))</f>
        <v/>
      </c>
      <c r="T304" s="10">
        <f>IF(OR($B304="",$Q304=""),"",ROUND(($Q304-$B304)*24,1))</f>
        <v/>
      </c>
    </row>
    <row r="305">
      <c r="A305">
        <f>IF($B305="","","SAK-"&amp;TEXT(ROW()-1,"0000"))</f>
        <v/>
      </c>
      <c r="B305" s="8">
        <f>IF($C305&amp;$H305="","",IF($B305="",NOW(),$B305))</f>
        <v/>
      </c>
      <c r="J305">
        <f>IF($F305="","",IFERROR(VLOOKUP($F305,Oppsett!$E$4:$F$11,2,FALSE),"– ikke tildelt –"))</f>
        <v/>
      </c>
      <c r="L305">
        <f>IF($B305="","",IF($K305&lt;&gt;"",$K305,$J305))</f>
        <v/>
      </c>
      <c r="N305" s="8">
        <f>IF(OR($B305="",$G305=""),"",$B305+VLOOKUP($G305,Oppsett!$H$4:$J$7,2,FALSE)/24)</f>
        <v/>
      </c>
      <c r="O305" s="8">
        <f>IF(OR($B305="",$G305=""),"",$B305+VLOOKUP($G305,Oppsett!$H$4:$J$7,3,FALSE)/24)</f>
        <v/>
      </c>
      <c r="P305" s="8" t="n"/>
      <c r="Q305" s="8" t="n"/>
      <c r="R305">
        <f>IF($B305="","",IF($P305&lt;&gt;"",IF($P305&lt;=$N305,"OK","Påbegynt for sent"),IF(NOW()&gt;$N305,"FORFALT","Innen frist")))</f>
        <v/>
      </c>
      <c r="S305">
        <f>IF($B305="","",IF($Q305&lt;&gt;"",IF($Q305&lt;=$O305,"OK","Løst for sent"),IF(NOW()&gt;$O305,"FORFALT","Innen frist")))</f>
        <v/>
      </c>
      <c r="T305" s="10">
        <f>IF(OR($B305="",$Q305=""),"",ROUND(($Q305-$B305)*24,1))</f>
        <v/>
      </c>
    </row>
    <row r="306">
      <c r="A306">
        <f>IF($B306="","","SAK-"&amp;TEXT(ROW()-1,"0000"))</f>
        <v/>
      </c>
      <c r="B306" s="8">
        <f>IF($C306&amp;$H306="","",IF($B306="",NOW(),$B306))</f>
        <v/>
      </c>
      <c r="J306">
        <f>IF($F306="","",IFERROR(VLOOKUP($F306,Oppsett!$E$4:$F$11,2,FALSE),"– ikke tildelt –"))</f>
        <v/>
      </c>
      <c r="L306">
        <f>IF($B306="","",IF($K306&lt;&gt;"",$K306,$J306))</f>
        <v/>
      </c>
      <c r="N306" s="8">
        <f>IF(OR($B306="",$G306=""),"",$B306+VLOOKUP($G306,Oppsett!$H$4:$J$7,2,FALSE)/24)</f>
        <v/>
      </c>
      <c r="O306" s="8">
        <f>IF(OR($B306="",$G306=""),"",$B306+VLOOKUP($G306,Oppsett!$H$4:$J$7,3,FALSE)/24)</f>
        <v/>
      </c>
      <c r="P306" s="8" t="n"/>
      <c r="Q306" s="8" t="n"/>
      <c r="R306">
        <f>IF($B306="","",IF($P306&lt;&gt;"",IF($P306&lt;=$N306,"OK","Påbegynt for sent"),IF(NOW()&gt;$N306,"FORFALT","Innen frist")))</f>
        <v/>
      </c>
      <c r="S306">
        <f>IF($B306="","",IF($Q306&lt;&gt;"",IF($Q306&lt;=$O306,"OK","Løst for sent"),IF(NOW()&gt;$O306,"FORFALT","Innen frist")))</f>
        <v/>
      </c>
      <c r="T306" s="10">
        <f>IF(OR($B306="",$Q306=""),"",ROUND(($Q306-$B306)*24,1))</f>
        <v/>
      </c>
    </row>
    <row r="307">
      <c r="A307">
        <f>IF($B307="","","SAK-"&amp;TEXT(ROW()-1,"0000"))</f>
        <v/>
      </c>
      <c r="B307" s="8">
        <f>IF($C307&amp;$H307="","",IF($B307="",NOW(),$B307))</f>
        <v/>
      </c>
      <c r="J307">
        <f>IF($F307="","",IFERROR(VLOOKUP($F307,Oppsett!$E$4:$F$11,2,FALSE),"– ikke tildelt –"))</f>
        <v/>
      </c>
      <c r="L307">
        <f>IF($B307="","",IF($K307&lt;&gt;"",$K307,$J307))</f>
        <v/>
      </c>
      <c r="N307" s="8">
        <f>IF(OR($B307="",$G307=""),"",$B307+VLOOKUP($G307,Oppsett!$H$4:$J$7,2,FALSE)/24)</f>
        <v/>
      </c>
      <c r="O307" s="8">
        <f>IF(OR($B307="",$G307=""),"",$B307+VLOOKUP($G307,Oppsett!$H$4:$J$7,3,FALSE)/24)</f>
        <v/>
      </c>
      <c r="P307" s="8" t="n"/>
      <c r="Q307" s="8" t="n"/>
      <c r="R307">
        <f>IF($B307="","",IF($P307&lt;&gt;"",IF($P307&lt;=$N307,"OK","Påbegynt for sent"),IF(NOW()&gt;$N307,"FORFALT","Innen frist")))</f>
        <v/>
      </c>
      <c r="S307">
        <f>IF($B307="","",IF($Q307&lt;&gt;"",IF($Q307&lt;=$O307,"OK","Løst for sent"),IF(NOW()&gt;$O307,"FORFALT","Innen frist")))</f>
        <v/>
      </c>
      <c r="T307" s="10">
        <f>IF(OR($B307="",$Q307=""),"",ROUND(($Q307-$B307)*24,1))</f>
        <v/>
      </c>
    </row>
    <row r="308">
      <c r="A308">
        <f>IF($B308="","","SAK-"&amp;TEXT(ROW()-1,"0000"))</f>
        <v/>
      </c>
      <c r="B308" s="8">
        <f>IF($C308&amp;$H308="","",IF($B308="",NOW(),$B308))</f>
        <v/>
      </c>
      <c r="J308">
        <f>IF($F308="","",IFERROR(VLOOKUP($F308,Oppsett!$E$4:$F$11,2,FALSE),"– ikke tildelt –"))</f>
        <v/>
      </c>
      <c r="L308">
        <f>IF($B308="","",IF($K308&lt;&gt;"",$K308,$J308))</f>
        <v/>
      </c>
      <c r="N308" s="8">
        <f>IF(OR($B308="",$G308=""),"",$B308+VLOOKUP($G308,Oppsett!$H$4:$J$7,2,FALSE)/24)</f>
        <v/>
      </c>
      <c r="O308" s="8">
        <f>IF(OR($B308="",$G308=""),"",$B308+VLOOKUP($G308,Oppsett!$H$4:$J$7,3,FALSE)/24)</f>
        <v/>
      </c>
      <c r="P308" s="8" t="n"/>
      <c r="Q308" s="8" t="n"/>
      <c r="R308">
        <f>IF($B308="","",IF($P308&lt;&gt;"",IF($P308&lt;=$N308,"OK","Påbegynt for sent"),IF(NOW()&gt;$N308,"FORFALT","Innen frist")))</f>
        <v/>
      </c>
      <c r="S308">
        <f>IF($B308="","",IF($Q308&lt;&gt;"",IF($Q308&lt;=$O308,"OK","Løst for sent"),IF(NOW()&gt;$O308,"FORFALT","Innen frist")))</f>
        <v/>
      </c>
      <c r="T308" s="10">
        <f>IF(OR($B308="",$Q308=""),"",ROUND(($Q308-$B308)*24,1))</f>
        <v/>
      </c>
    </row>
    <row r="309">
      <c r="A309">
        <f>IF($B309="","","SAK-"&amp;TEXT(ROW()-1,"0000"))</f>
        <v/>
      </c>
      <c r="B309" s="8">
        <f>IF($C309&amp;$H309="","",IF($B309="",NOW(),$B309))</f>
        <v/>
      </c>
      <c r="J309">
        <f>IF($F309="","",IFERROR(VLOOKUP($F309,Oppsett!$E$4:$F$11,2,FALSE),"– ikke tildelt –"))</f>
        <v/>
      </c>
      <c r="L309">
        <f>IF($B309="","",IF($K309&lt;&gt;"",$K309,$J309))</f>
        <v/>
      </c>
      <c r="N309" s="8">
        <f>IF(OR($B309="",$G309=""),"",$B309+VLOOKUP($G309,Oppsett!$H$4:$J$7,2,FALSE)/24)</f>
        <v/>
      </c>
      <c r="O309" s="8">
        <f>IF(OR($B309="",$G309=""),"",$B309+VLOOKUP($G309,Oppsett!$H$4:$J$7,3,FALSE)/24)</f>
        <v/>
      </c>
      <c r="P309" s="8" t="n"/>
      <c r="Q309" s="8" t="n"/>
      <c r="R309">
        <f>IF($B309="","",IF($P309&lt;&gt;"",IF($P309&lt;=$N309,"OK","Påbegynt for sent"),IF(NOW()&gt;$N309,"FORFALT","Innen frist")))</f>
        <v/>
      </c>
      <c r="S309">
        <f>IF($B309="","",IF($Q309&lt;&gt;"",IF($Q309&lt;=$O309,"OK","Løst for sent"),IF(NOW()&gt;$O309,"FORFALT","Innen frist")))</f>
        <v/>
      </c>
      <c r="T309" s="10">
        <f>IF(OR($B309="",$Q309=""),"",ROUND(($Q309-$B309)*24,1))</f>
        <v/>
      </c>
    </row>
    <row r="310">
      <c r="A310">
        <f>IF($B310="","","SAK-"&amp;TEXT(ROW()-1,"0000"))</f>
        <v/>
      </c>
      <c r="B310" s="8">
        <f>IF($C310&amp;$H310="","",IF($B310="",NOW(),$B310))</f>
        <v/>
      </c>
      <c r="J310">
        <f>IF($F310="","",IFERROR(VLOOKUP($F310,Oppsett!$E$4:$F$11,2,FALSE),"– ikke tildelt –"))</f>
        <v/>
      </c>
      <c r="L310">
        <f>IF($B310="","",IF($K310&lt;&gt;"",$K310,$J310))</f>
        <v/>
      </c>
      <c r="N310" s="8">
        <f>IF(OR($B310="",$G310=""),"",$B310+VLOOKUP($G310,Oppsett!$H$4:$J$7,2,FALSE)/24)</f>
        <v/>
      </c>
      <c r="O310" s="8">
        <f>IF(OR($B310="",$G310=""),"",$B310+VLOOKUP($G310,Oppsett!$H$4:$J$7,3,FALSE)/24)</f>
        <v/>
      </c>
      <c r="P310" s="8" t="n"/>
      <c r="Q310" s="8" t="n"/>
      <c r="R310">
        <f>IF($B310="","",IF($P310&lt;&gt;"",IF($P310&lt;=$N310,"OK","Påbegynt for sent"),IF(NOW()&gt;$N310,"FORFALT","Innen frist")))</f>
        <v/>
      </c>
      <c r="S310">
        <f>IF($B310="","",IF($Q310&lt;&gt;"",IF($Q310&lt;=$O310,"OK","Løst for sent"),IF(NOW()&gt;$O310,"FORFALT","Innen frist")))</f>
        <v/>
      </c>
      <c r="T310" s="10">
        <f>IF(OR($B310="",$Q310=""),"",ROUND(($Q310-$B310)*24,1))</f>
        <v/>
      </c>
    </row>
    <row r="311">
      <c r="A311">
        <f>IF($B311="","","SAK-"&amp;TEXT(ROW()-1,"0000"))</f>
        <v/>
      </c>
      <c r="B311" s="8">
        <f>IF($C311&amp;$H311="","",IF($B311="",NOW(),$B311))</f>
        <v/>
      </c>
      <c r="J311">
        <f>IF($F311="","",IFERROR(VLOOKUP($F311,Oppsett!$E$4:$F$11,2,FALSE),"– ikke tildelt –"))</f>
        <v/>
      </c>
      <c r="L311">
        <f>IF($B311="","",IF($K311&lt;&gt;"",$K311,$J311))</f>
        <v/>
      </c>
      <c r="N311" s="8">
        <f>IF(OR($B311="",$G311=""),"",$B311+VLOOKUP($G311,Oppsett!$H$4:$J$7,2,FALSE)/24)</f>
        <v/>
      </c>
      <c r="O311" s="8">
        <f>IF(OR($B311="",$G311=""),"",$B311+VLOOKUP($G311,Oppsett!$H$4:$J$7,3,FALSE)/24)</f>
        <v/>
      </c>
      <c r="P311" s="8" t="n"/>
      <c r="Q311" s="8" t="n"/>
      <c r="R311">
        <f>IF($B311="","",IF($P311&lt;&gt;"",IF($P311&lt;=$N311,"OK","Påbegynt for sent"),IF(NOW()&gt;$N311,"FORFALT","Innen frist")))</f>
        <v/>
      </c>
      <c r="S311">
        <f>IF($B311="","",IF($Q311&lt;&gt;"",IF($Q311&lt;=$O311,"OK","Løst for sent"),IF(NOW()&gt;$O311,"FORFALT","Innen frist")))</f>
        <v/>
      </c>
      <c r="T311" s="10">
        <f>IF(OR($B311="",$Q311=""),"",ROUND(($Q311-$B311)*24,1))</f>
        <v/>
      </c>
    </row>
    <row r="312">
      <c r="A312">
        <f>IF($B312="","","SAK-"&amp;TEXT(ROW()-1,"0000"))</f>
        <v/>
      </c>
      <c r="B312" s="8">
        <f>IF($C312&amp;$H312="","",IF($B312="",NOW(),$B312))</f>
        <v/>
      </c>
      <c r="J312">
        <f>IF($F312="","",IFERROR(VLOOKUP($F312,Oppsett!$E$4:$F$11,2,FALSE),"– ikke tildelt –"))</f>
        <v/>
      </c>
      <c r="L312">
        <f>IF($B312="","",IF($K312&lt;&gt;"",$K312,$J312))</f>
        <v/>
      </c>
      <c r="N312" s="8">
        <f>IF(OR($B312="",$G312=""),"",$B312+VLOOKUP($G312,Oppsett!$H$4:$J$7,2,FALSE)/24)</f>
        <v/>
      </c>
      <c r="O312" s="8">
        <f>IF(OR($B312="",$G312=""),"",$B312+VLOOKUP($G312,Oppsett!$H$4:$J$7,3,FALSE)/24)</f>
        <v/>
      </c>
      <c r="P312" s="8" t="n"/>
      <c r="Q312" s="8" t="n"/>
      <c r="R312">
        <f>IF($B312="","",IF($P312&lt;&gt;"",IF($P312&lt;=$N312,"OK","Påbegynt for sent"),IF(NOW()&gt;$N312,"FORFALT","Innen frist")))</f>
        <v/>
      </c>
      <c r="S312">
        <f>IF($B312="","",IF($Q312&lt;&gt;"",IF($Q312&lt;=$O312,"OK","Løst for sent"),IF(NOW()&gt;$O312,"FORFALT","Innen frist")))</f>
        <v/>
      </c>
      <c r="T312" s="10">
        <f>IF(OR($B312="",$Q312=""),"",ROUND(($Q312-$B312)*24,1))</f>
        <v/>
      </c>
    </row>
    <row r="313">
      <c r="A313">
        <f>IF($B313="","","SAK-"&amp;TEXT(ROW()-1,"0000"))</f>
        <v/>
      </c>
      <c r="B313" s="8">
        <f>IF($C313&amp;$H313="","",IF($B313="",NOW(),$B313))</f>
        <v/>
      </c>
      <c r="J313">
        <f>IF($F313="","",IFERROR(VLOOKUP($F313,Oppsett!$E$4:$F$11,2,FALSE),"– ikke tildelt –"))</f>
        <v/>
      </c>
      <c r="L313">
        <f>IF($B313="","",IF($K313&lt;&gt;"",$K313,$J313))</f>
        <v/>
      </c>
      <c r="N313" s="8">
        <f>IF(OR($B313="",$G313=""),"",$B313+VLOOKUP($G313,Oppsett!$H$4:$J$7,2,FALSE)/24)</f>
        <v/>
      </c>
      <c r="O313" s="8">
        <f>IF(OR($B313="",$G313=""),"",$B313+VLOOKUP($G313,Oppsett!$H$4:$J$7,3,FALSE)/24)</f>
        <v/>
      </c>
      <c r="P313" s="8" t="n"/>
      <c r="Q313" s="8" t="n"/>
      <c r="R313">
        <f>IF($B313="","",IF($P313&lt;&gt;"",IF($P313&lt;=$N313,"OK","Påbegynt for sent"),IF(NOW()&gt;$N313,"FORFALT","Innen frist")))</f>
        <v/>
      </c>
      <c r="S313">
        <f>IF($B313="","",IF($Q313&lt;&gt;"",IF($Q313&lt;=$O313,"OK","Løst for sent"),IF(NOW()&gt;$O313,"FORFALT","Innen frist")))</f>
        <v/>
      </c>
      <c r="T313" s="10">
        <f>IF(OR($B313="",$Q313=""),"",ROUND(($Q313-$B313)*24,1))</f>
        <v/>
      </c>
    </row>
    <row r="314">
      <c r="A314">
        <f>IF($B314="","","SAK-"&amp;TEXT(ROW()-1,"0000"))</f>
        <v/>
      </c>
      <c r="B314" s="8">
        <f>IF($C314&amp;$H314="","",IF($B314="",NOW(),$B314))</f>
        <v/>
      </c>
      <c r="J314">
        <f>IF($F314="","",IFERROR(VLOOKUP($F314,Oppsett!$E$4:$F$11,2,FALSE),"– ikke tildelt –"))</f>
        <v/>
      </c>
      <c r="L314">
        <f>IF($B314="","",IF($K314&lt;&gt;"",$K314,$J314))</f>
        <v/>
      </c>
      <c r="N314" s="8">
        <f>IF(OR($B314="",$G314=""),"",$B314+VLOOKUP($G314,Oppsett!$H$4:$J$7,2,FALSE)/24)</f>
        <v/>
      </c>
      <c r="O314" s="8">
        <f>IF(OR($B314="",$G314=""),"",$B314+VLOOKUP($G314,Oppsett!$H$4:$J$7,3,FALSE)/24)</f>
        <v/>
      </c>
      <c r="P314" s="8" t="n"/>
      <c r="Q314" s="8" t="n"/>
      <c r="R314">
        <f>IF($B314="","",IF($P314&lt;&gt;"",IF($P314&lt;=$N314,"OK","Påbegynt for sent"),IF(NOW()&gt;$N314,"FORFALT","Innen frist")))</f>
        <v/>
      </c>
      <c r="S314">
        <f>IF($B314="","",IF($Q314&lt;&gt;"",IF($Q314&lt;=$O314,"OK","Løst for sent"),IF(NOW()&gt;$O314,"FORFALT","Innen frist")))</f>
        <v/>
      </c>
      <c r="T314" s="10">
        <f>IF(OR($B314="",$Q314=""),"",ROUND(($Q314-$B314)*24,1))</f>
        <v/>
      </c>
    </row>
    <row r="315">
      <c r="A315">
        <f>IF($B315="","","SAK-"&amp;TEXT(ROW()-1,"0000"))</f>
        <v/>
      </c>
      <c r="B315" s="8">
        <f>IF($C315&amp;$H315="","",IF($B315="",NOW(),$B315))</f>
        <v/>
      </c>
      <c r="J315">
        <f>IF($F315="","",IFERROR(VLOOKUP($F315,Oppsett!$E$4:$F$11,2,FALSE),"– ikke tildelt –"))</f>
        <v/>
      </c>
      <c r="L315">
        <f>IF($B315="","",IF($K315&lt;&gt;"",$K315,$J315))</f>
        <v/>
      </c>
      <c r="N315" s="8">
        <f>IF(OR($B315="",$G315=""),"",$B315+VLOOKUP($G315,Oppsett!$H$4:$J$7,2,FALSE)/24)</f>
        <v/>
      </c>
      <c r="O315" s="8">
        <f>IF(OR($B315="",$G315=""),"",$B315+VLOOKUP($G315,Oppsett!$H$4:$J$7,3,FALSE)/24)</f>
        <v/>
      </c>
      <c r="P315" s="8" t="n"/>
      <c r="Q315" s="8" t="n"/>
      <c r="R315">
        <f>IF($B315="","",IF($P315&lt;&gt;"",IF($P315&lt;=$N315,"OK","Påbegynt for sent"),IF(NOW()&gt;$N315,"FORFALT","Innen frist")))</f>
        <v/>
      </c>
      <c r="S315">
        <f>IF($B315="","",IF($Q315&lt;&gt;"",IF($Q315&lt;=$O315,"OK","Løst for sent"),IF(NOW()&gt;$O315,"FORFALT","Innen frist")))</f>
        <v/>
      </c>
      <c r="T315" s="10">
        <f>IF(OR($B315="",$Q315=""),"",ROUND(($Q315-$B315)*24,1))</f>
        <v/>
      </c>
    </row>
    <row r="316">
      <c r="A316">
        <f>IF($B316="","","SAK-"&amp;TEXT(ROW()-1,"0000"))</f>
        <v/>
      </c>
      <c r="B316" s="8">
        <f>IF($C316&amp;$H316="","",IF($B316="",NOW(),$B316))</f>
        <v/>
      </c>
      <c r="J316">
        <f>IF($F316="","",IFERROR(VLOOKUP($F316,Oppsett!$E$4:$F$11,2,FALSE),"– ikke tildelt –"))</f>
        <v/>
      </c>
      <c r="L316">
        <f>IF($B316="","",IF($K316&lt;&gt;"",$K316,$J316))</f>
        <v/>
      </c>
      <c r="N316" s="8">
        <f>IF(OR($B316="",$G316=""),"",$B316+VLOOKUP($G316,Oppsett!$H$4:$J$7,2,FALSE)/24)</f>
        <v/>
      </c>
      <c r="O316" s="8">
        <f>IF(OR($B316="",$G316=""),"",$B316+VLOOKUP($G316,Oppsett!$H$4:$J$7,3,FALSE)/24)</f>
        <v/>
      </c>
      <c r="P316" s="8" t="n"/>
      <c r="Q316" s="8" t="n"/>
      <c r="R316">
        <f>IF($B316="","",IF($P316&lt;&gt;"",IF($P316&lt;=$N316,"OK","Påbegynt for sent"),IF(NOW()&gt;$N316,"FORFALT","Innen frist")))</f>
        <v/>
      </c>
      <c r="S316">
        <f>IF($B316="","",IF($Q316&lt;&gt;"",IF($Q316&lt;=$O316,"OK","Løst for sent"),IF(NOW()&gt;$O316,"FORFALT","Innen frist")))</f>
        <v/>
      </c>
      <c r="T316" s="10">
        <f>IF(OR($B316="",$Q316=""),"",ROUND(($Q316-$B316)*24,1))</f>
        <v/>
      </c>
    </row>
    <row r="317">
      <c r="A317">
        <f>IF($B317="","","SAK-"&amp;TEXT(ROW()-1,"0000"))</f>
        <v/>
      </c>
      <c r="B317" s="8">
        <f>IF($C317&amp;$H317="","",IF($B317="",NOW(),$B317))</f>
        <v/>
      </c>
      <c r="J317">
        <f>IF($F317="","",IFERROR(VLOOKUP($F317,Oppsett!$E$4:$F$11,2,FALSE),"– ikke tildelt –"))</f>
        <v/>
      </c>
      <c r="L317">
        <f>IF($B317="","",IF($K317&lt;&gt;"",$K317,$J317))</f>
        <v/>
      </c>
      <c r="N317" s="8">
        <f>IF(OR($B317="",$G317=""),"",$B317+VLOOKUP($G317,Oppsett!$H$4:$J$7,2,FALSE)/24)</f>
        <v/>
      </c>
      <c r="O317" s="8">
        <f>IF(OR($B317="",$G317=""),"",$B317+VLOOKUP($G317,Oppsett!$H$4:$J$7,3,FALSE)/24)</f>
        <v/>
      </c>
      <c r="P317" s="8" t="n"/>
      <c r="Q317" s="8" t="n"/>
      <c r="R317">
        <f>IF($B317="","",IF($P317&lt;&gt;"",IF($P317&lt;=$N317,"OK","Påbegynt for sent"),IF(NOW()&gt;$N317,"FORFALT","Innen frist")))</f>
        <v/>
      </c>
      <c r="S317">
        <f>IF($B317="","",IF($Q317&lt;&gt;"",IF($Q317&lt;=$O317,"OK","Løst for sent"),IF(NOW()&gt;$O317,"FORFALT","Innen frist")))</f>
        <v/>
      </c>
      <c r="T317" s="10">
        <f>IF(OR($B317="",$Q317=""),"",ROUND(($Q317-$B317)*24,1))</f>
        <v/>
      </c>
    </row>
    <row r="318">
      <c r="A318">
        <f>IF($B318="","","SAK-"&amp;TEXT(ROW()-1,"0000"))</f>
        <v/>
      </c>
      <c r="B318" s="8">
        <f>IF($C318&amp;$H318="","",IF($B318="",NOW(),$B318))</f>
        <v/>
      </c>
      <c r="J318">
        <f>IF($F318="","",IFERROR(VLOOKUP($F318,Oppsett!$E$4:$F$11,2,FALSE),"– ikke tildelt –"))</f>
        <v/>
      </c>
      <c r="L318">
        <f>IF($B318="","",IF($K318&lt;&gt;"",$K318,$J318))</f>
        <v/>
      </c>
      <c r="N318" s="8">
        <f>IF(OR($B318="",$G318=""),"",$B318+VLOOKUP($G318,Oppsett!$H$4:$J$7,2,FALSE)/24)</f>
        <v/>
      </c>
      <c r="O318" s="8">
        <f>IF(OR($B318="",$G318=""),"",$B318+VLOOKUP($G318,Oppsett!$H$4:$J$7,3,FALSE)/24)</f>
        <v/>
      </c>
      <c r="P318" s="8" t="n"/>
      <c r="Q318" s="8" t="n"/>
      <c r="R318">
        <f>IF($B318="","",IF($P318&lt;&gt;"",IF($P318&lt;=$N318,"OK","Påbegynt for sent"),IF(NOW()&gt;$N318,"FORFALT","Innen frist")))</f>
        <v/>
      </c>
      <c r="S318">
        <f>IF($B318="","",IF($Q318&lt;&gt;"",IF($Q318&lt;=$O318,"OK","Løst for sent"),IF(NOW()&gt;$O318,"FORFALT","Innen frist")))</f>
        <v/>
      </c>
      <c r="T318" s="10">
        <f>IF(OR($B318="",$Q318=""),"",ROUND(($Q318-$B318)*24,1))</f>
        <v/>
      </c>
    </row>
    <row r="319">
      <c r="A319">
        <f>IF($B319="","","SAK-"&amp;TEXT(ROW()-1,"0000"))</f>
        <v/>
      </c>
      <c r="B319" s="8">
        <f>IF($C319&amp;$H319="","",IF($B319="",NOW(),$B319))</f>
        <v/>
      </c>
      <c r="J319">
        <f>IF($F319="","",IFERROR(VLOOKUP($F319,Oppsett!$E$4:$F$11,2,FALSE),"– ikke tildelt –"))</f>
        <v/>
      </c>
      <c r="L319">
        <f>IF($B319="","",IF($K319&lt;&gt;"",$K319,$J319))</f>
        <v/>
      </c>
      <c r="N319" s="8">
        <f>IF(OR($B319="",$G319=""),"",$B319+VLOOKUP($G319,Oppsett!$H$4:$J$7,2,FALSE)/24)</f>
        <v/>
      </c>
      <c r="O319" s="8">
        <f>IF(OR($B319="",$G319=""),"",$B319+VLOOKUP($G319,Oppsett!$H$4:$J$7,3,FALSE)/24)</f>
        <v/>
      </c>
      <c r="P319" s="8" t="n"/>
      <c r="Q319" s="8" t="n"/>
      <c r="R319">
        <f>IF($B319="","",IF($P319&lt;&gt;"",IF($P319&lt;=$N319,"OK","Påbegynt for sent"),IF(NOW()&gt;$N319,"FORFALT","Innen frist")))</f>
        <v/>
      </c>
      <c r="S319">
        <f>IF($B319="","",IF($Q319&lt;&gt;"",IF($Q319&lt;=$O319,"OK","Løst for sent"),IF(NOW()&gt;$O319,"FORFALT","Innen frist")))</f>
        <v/>
      </c>
      <c r="T319" s="10">
        <f>IF(OR($B319="",$Q319=""),"",ROUND(($Q319-$B319)*24,1))</f>
        <v/>
      </c>
    </row>
    <row r="320">
      <c r="A320">
        <f>IF($B320="","","SAK-"&amp;TEXT(ROW()-1,"0000"))</f>
        <v/>
      </c>
      <c r="B320" s="8">
        <f>IF($C320&amp;$H320="","",IF($B320="",NOW(),$B320))</f>
        <v/>
      </c>
      <c r="J320">
        <f>IF($F320="","",IFERROR(VLOOKUP($F320,Oppsett!$E$4:$F$11,2,FALSE),"– ikke tildelt –"))</f>
        <v/>
      </c>
      <c r="L320">
        <f>IF($B320="","",IF($K320&lt;&gt;"",$K320,$J320))</f>
        <v/>
      </c>
      <c r="N320" s="8">
        <f>IF(OR($B320="",$G320=""),"",$B320+VLOOKUP($G320,Oppsett!$H$4:$J$7,2,FALSE)/24)</f>
        <v/>
      </c>
      <c r="O320" s="8">
        <f>IF(OR($B320="",$G320=""),"",$B320+VLOOKUP($G320,Oppsett!$H$4:$J$7,3,FALSE)/24)</f>
        <v/>
      </c>
      <c r="P320" s="8" t="n"/>
      <c r="Q320" s="8" t="n"/>
      <c r="R320">
        <f>IF($B320="","",IF($P320&lt;&gt;"",IF($P320&lt;=$N320,"OK","Påbegynt for sent"),IF(NOW()&gt;$N320,"FORFALT","Innen frist")))</f>
        <v/>
      </c>
      <c r="S320">
        <f>IF($B320="","",IF($Q320&lt;&gt;"",IF($Q320&lt;=$O320,"OK","Løst for sent"),IF(NOW()&gt;$O320,"FORFALT","Innen frist")))</f>
        <v/>
      </c>
      <c r="T320" s="10">
        <f>IF(OR($B320="",$Q320=""),"",ROUND(($Q320-$B320)*24,1))</f>
        <v/>
      </c>
    </row>
    <row r="321">
      <c r="A321">
        <f>IF($B321="","","SAK-"&amp;TEXT(ROW()-1,"0000"))</f>
        <v/>
      </c>
      <c r="B321" s="8">
        <f>IF($C321&amp;$H321="","",IF($B321="",NOW(),$B321))</f>
        <v/>
      </c>
      <c r="J321">
        <f>IF($F321="","",IFERROR(VLOOKUP($F321,Oppsett!$E$4:$F$11,2,FALSE),"– ikke tildelt –"))</f>
        <v/>
      </c>
      <c r="L321">
        <f>IF($B321="","",IF($K321&lt;&gt;"",$K321,$J321))</f>
        <v/>
      </c>
      <c r="N321" s="8">
        <f>IF(OR($B321="",$G321=""),"",$B321+VLOOKUP($G321,Oppsett!$H$4:$J$7,2,FALSE)/24)</f>
        <v/>
      </c>
      <c r="O321" s="8">
        <f>IF(OR($B321="",$G321=""),"",$B321+VLOOKUP($G321,Oppsett!$H$4:$J$7,3,FALSE)/24)</f>
        <v/>
      </c>
      <c r="P321" s="8" t="n"/>
      <c r="Q321" s="8" t="n"/>
      <c r="R321">
        <f>IF($B321="","",IF($P321&lt;&gt;"",IF($P321&lt;=$N321,"OK","Påbegynt for sent"),IF(NOW()&gt;$N321,"FORFALT","Innen frist")))</f>
        <v/>
      </c>
      <c r="S321">
        <f>IF($B321="","",IF($Q321&lt;&gt;"",IF($Q321&lt;=$O321,"OK","Løst for sent"),IF(NOW()&gt;$O321,"FORFALT","Innen frist")))</f>
        <v/>
      </c>
      <c r="T321" s="10">
        <f>IF(OR($B321="",$Q321=""),"",ROUND(($Q321-$B321)*24,1))</f>
        <v/>
      </c>
    </row>
    <row r="322">
      <c r="A322">
        <f>IF($B322="","","SAK-"&amp;TEXT(ROW()-1,"0000"))</f>
        <v/>
      </c>
      <c r="B322" s="8">
        <f>IF($C322&amp;$H322="","",IF($B322="",NOW(),$B322))</f>
        <v/>
      </c>
      <c r="J322">
        <f>IF($F322="","",IFERROR(VLOOKUP($F322,Oppsett!$E$4:$F$11,2,FALSE),"– ikke tildelt –"))</f>
        <v/>
      </c>
      <c r="L322">
        <f>IF($B322="","",IF($K322&lt;&gt;"",$K322,$J322))</f>
        <v/>
      </c>
      <c r="N322" s="8">
        <f>IF(OR($B322="",$G322=""),"",$B322+VLOOKUP($G322,Oppsett!$H$4:$J$7,2,FALSE)/24)</f>
        <v/>
      </c>
      <c r="O322" s="8">
        <f>IF(OR($B322="",$G322=""),"",$B322+VLOOKUP($G322,Oppsett!$H$4:$J$7,3,FALSE)/24)</f>
        <v/>
      </c>
      <c r="P322" s="8" t="n"/>
      <c r="Q322" s="8" t="n"/>
      <c r="R322">
        <f>IF($B322="","",IF($P322&lt;&gt;"",IF($P322&lt;=$N322,"OK","Påbegynt for sent"),IF(NOW()&gt;$N322,"FORFALT","Innen frist")))</f>
        <v/>
      </c>
      <c r="S322">
        <f>IF($B322="","",IF($Q322&lt;&gt;"",IF($Q322&lt;=$O322,"OK","Løst for sent"),IF(NOW()&gt;$O322,"FORFALT","Innen frist")))</f>
        <v/>
      </c>
      <c r="T322" s="10">
        <f>IF(OR($B322="",$Q322=""),"",ROUND(($Q322-$B322)*24,1))</f>
        <v/>
      </c>
    </row>
    <row r="323">
      <c r="A323">
        <f>IF($B323="","","SAK-"&amp;TEXT(ROW()-1,"0000"))</f>
        <v/>
      </c>
      <c r="B323" s="8">
        <f>IF($C323&amp;$H323="","",IF($B323="",NOW(),$B323))</f>
        <v/>
      </c>
      <c r="J323">
        <f>IF($F323="","",IFERROR(VLOOKUP($F323,Oppsett!$E$4:$F$11,2,FALSE),"– ikke tildelt –"))</f>
        <v/>
      </c>
      <c r="L323">
        <f>IF($B323="","",IF($K323&lt;&gt;"",$K323,$J323))</f>
        <v/>
      </c>
      <c r="N323" s="8">
        <f>IF(OR($B323="",$G323=""),"",$B323+VLOOKUP($G323,Oppsett!$H$4:$J$7,2,FALSE)/24)</f>
        <v/>
      </c>
      <c r="O323" s="8">
        <f>IF(OR($B323="",$G323=""),"",$B323+VLOOKUP($G323,Oppsett!$H$4:$J$7,3,FALSE)/24)</f>
        <v/>
      </c>
      <c r="P323" s="8" t="n"/>
      <c r="Q323" s="8" t="n"/>
      <c r="R323">
        <f>IF($B323="","",IF($P323&lt;&gt;"",IF($P323&lt;=$N323,"OK","Påbegynt for sent"),IF(NOW()&gt;$N323,"FORFALT","Innen frist")))</f>
        <v/>
      </c>
      <c r="S323">
        <f>IF($B323="","",IF($Q323&lt;&gt;"",IF($Q323&lt;=$O323,"OK","Løst for sent"),IF(NOW()&gt;$O323,"FORFALT","Innen frist")))</f>
        <v/>
      </c>
      <c r="T323" s="10">
        <f>IF(OR($B323="",$Q323=""),"",ROUND(($Q323-$B323)*24,1))</f>
        <v/>
      </c>
    </row>
    <row r="324">
      <c r="A324">
        <f>IF($B324="","","SAK-"&amp;TEXT(ROW()-1,"0000"))</f>
        <v/>
      </c>
      <c r="B324" s="8">
        <f>IF($C324&amp;$H324="","",IF($B324="",NOW(),$B324))</f>
        <v/>
      </c>
      <c r="J324">
        <f>IF($F324="","",IFERROR(VLOOKUP($F324,Oppsett!$E$4:$F$11,2,FALSE),"– ikke tildelt –"))</f>
        <v/>
      </c>
      <c r="L324">
        <f>IF($B324="","",IF($K324&lt;&gt;"",$K324,$J324))</f>
        <v/>
      </c>
      <c r="N324" s="8">
        <f>IF(OR($B324="",$G324=""),"",$B324+VLOOKUP($G324,Oppsett!$H$4:$J$7,2,FALSE)/24)</f>
        <v/>
      </c>
      <c r="O324" s="8">
        <f>IF(OR($B324="",$G324=""),"",$B324+VLOOKUP($G324,Oppsett!$H$4:$J$7,3,FALSE)/24)</f>
        <v/>
      </c>
      <c r="P324" s="8" t="n"/>
      <c r="Q324" s="8" t="n"/>
      <c r="R324">
        <f>IF($B324="","",IF($P324&lt;&gt;"",IF($P324&lt;=$N324,"OK","Påbegynt for sent"),IF(NOW()&gt;$N324,"FORFALT","Innen frist")))</f>
        <v/>
      </c>
      <c r="S324">
        <f>IF($B324="","",IF($Q324&lt;&gt;"",IF($Q324&lt;=$O324,"OK","Løst for sent"),IF(NOW()&gt;$O324,"FORFALT","Innen frist")))</f>
        <v/>
      </c>
      <c r="T324" s="10">
        <f>IF(OR($B324="",$Q324=""),"",ROUND(($Q324-$B324)*24,1))</f>
        <v/>
      </c>
    </row>
    <row r="325">
      <c r="A325">
        <f>IF($B325="","","SAK-"&amp;TEXT(ROW()-1,"0000"))</f>
        <v/>
      </c>
      <c r="B325" s="8">
        <f>IF($C325&amp;$H325="","",IF($B325="",NOW(),$B325))</f>
        <v/>
      </c>
      <c r="J325">
        <f>IF($F325="","",IFERROR(VLOOKUP($F325,Oppsett!$E$4:$F$11,2,FALSE),"– ikke tildelt –"))</f>
        <v/>
      </c>
      <c r="L325">
        <f>IF($B325="","",IF($K325&lt;&gt;"",$K325,$J325))</f>
        <v/>
      </c>
      <c r="N325" s="8">
        <f>IF(OR($B325="",$G325=""),"",$B325+VLOOKUP($G325,Oppsett!$H$4:$J$7,2,FALSE)/24)</f>
        <v/>
      </c>
      <c r="O325" s="8">
        <f>IF(OR($B325="",$G325=""),"",$B325+VLOOKUP($G325,Oppsett!$H$4:$J$7,3,FALSE)/24)</f>
        <v/>
      </c>
      <c r="P325" s="8" t="n"/>
      <c r="Q325" s="8" t="n"/>
      <c r="R325">
        <f>IF($B325="","",IF($P325&lt;&gt;"",IF($P325&lt;=$N325,"OK","Påbegynt for sent"),IF(NOW()&gt;$N325,"FORFALT","Innen frist")))</f>
        <v/>
      </c>
      <c r="S325">
        <f>IF($B325="","",IF($Q325&lt;&gt;"",IF($Q325&lt;=$O325,"OK","Løst for sent"),IF(NOW()&gt;$O325,"FORFALT","Innen frist")))</f>
        <v/>
      </c>
      <c r="T325" s="10">
        <f>IF(OR($B325="",$Q325=""),"",ROUND(($Q325-$B325)*24,1))</f>
        <v/>
      </c>
    </row>
    <row r="326">
      <c r="A326">
        <f>IF($B326="","","SAK-"&amp;TEXT(ROW()-1,"0000"))</f>
        <v/>
      </c>
      <c r="B326" s="8">
        <f>IF($C326&amp;$H326="","",IF($B326="",NOW(),$B326))</f>
        <v/>
      </c>
      <c r="J326">
        <f>IF($F326="","",IFERROR(VLOOKUP($F326,Oppsett!$E$4:$F$11,2,FALSE),"– ikke tildelt –"))</f>
        <v/>
      </c>
      <c r="L326">
        <f>IF($B326="","",IF($K326&lt;&gt;"",$K326,$J326))</f>
        <v/>
      </c>
      <c r="N326" s="8">
        <f>IF(OR($B326="",$G326=""),"",$B326+VLOOKUP($G326,Oppsett!$H$4:$J$7,2,FALSE)/24)</f>
        <v/>
      </c>
      <c r="O326" s="8">
        <f>IF(OR($B326="",$G326=""),"",$B326+VLOOKUP($G326,Oppsett!$H$4:$J$7,3,FALSE)/24)</f>
        <v/>
      </c>
      <c r="P326" s="8" t="n"/>
      <c r="Q326" s="8" t="n"/>
      <c r="R326">
        <f>IF($B326="","",IF($P326&lt;&gt;"",IF($P326&lt;=$N326,"OK","Påbegynt for sent"),IF(NOW()&gt;$N326,"FORFALT","Innen frist")))</f>
        <v/>
      </c>
      <c r="S326">
        <f>IF($B326="","",IF($Q326&lt;&gt;"",IF($Q326&lt;=$O326,"OK","Løst for sent"),IF(NOW()&gt;$O326,"FORFALT","Innen frist")))</f>
        <v/>
      </c>
      <c r="T326" s="10">
        <f>IF(OR($B326="",$Q326=""),"",ROUND(($Q326-$B326)*24,1))</f>
        <v/>
      </c>
    </row>
    <row r="327">
      <c r="A327">
        <f>IF($B327="","","SAK-"&amp;TEXT(ROW()-1,"0000"))</f>
        <v/>
      </c>
      <c r="B327" s="8">
        <f>IF($C327&amp;$H327="","",IF($B327="",NOW(),$B327))</f>
        <v/>
      </c>
      <c r="J327">
        <f>IF($F327="","",IFERROR(VLOOKUP($F327,Oppsett!$E$4:$F$11,2,FALSE),"– ikke tildelt –"))</f>
        <v/>
      </c>
      <c r="L327">
        <f>IF($B327="","",IF($K327&lt;&gt;"",$K327,$J327))</f>
        <v/>
      </c>
      <c r="N327" s="8">
        <f>IF(OR($B327="",$G327=""),"",$B327+VLOOKUP($G327,Oppsett!$H$4:$J$7,2,FALSE)/24)</f>
        <v/>
      </c>
      <c r="O327" s="8">
        <f>IF(OR($B327="",$G327=""),"",$B327+VLOOKUP($G327,Oppsett!$H$4:$J$7,3,FALSE)/24)</f>
        <v/>
      </c>
      <c r="P327" s="8" t="n"/>
      <c r="Q327" s="8" t="n"/>
      <c r="R327">
        <f>IF($B327="","",IF($P327&lt;&gt;"",IF($P327&lt;=$N327,"OK","Påbegynt for sent"),IF(NOW()&gt;$N327,"FORFALT","Innen frist")))</f>
        <v/>
      </c>
      <c r="S327">
        <f>IF($B327="","",IF($Q327&lt;&gt;"",IF($Q327&lt;=$O327,"OK","Løst for sent"),IF(NOW()&gt;$O327,"FORFALT","Innen frist")))</f>
        <v/>
      </c>
      <c r="T327" s="10">
        <f>IF(OR($B327="",$Q327=""),"",ROUND(($Q327-$B327)*24,1))</f>
        <v/>
      </c>
    </row>
    <row r="328">
      <c r="A328">
        <f>IF($B328="","","SAK-"&amp;TEXT(ROW()-1,"0000"))</f>
        <v/>
      </c>
      <c r="B328" s="8">
        <f>IF($C328&amp;$H328="","",IF($B328="",NOW(),$B328))</f>
        <v/>
      </c>
      <c r="J328">
        <f>IF($F328="","",IFERROR(VLOOKUP($F328,Oppsett!$E$4:$F$11,2,FALSE),"– ikke tildelt –"))</f>
        <v/>
      </c>
      <c r="L328">
        <f>IF($B328="","",IF($K328&lt;&gt;"",$K328,$J328))</f>
        <v/>
      </c>
      <c r="N328" s="8">
        <f>IF(OR($B328="",$G328=""),"",$B328+VLOOKUP($G328,Oppsett!$H$4:$J$7,2,FALSE)/24)</f>
        <v/>
      </c>
      <c r="O328" s="8">
        <f>IF(OR($B328="",$G328=""),"",$B328+VLOOKUP($G328,Oppsett!$H$4:$J$7,3,FALSE)/24)</f>
        <v/>
      </c>
      <c r="P328" s="8" t="n"/>
      <c r="Q328" s="8" t="n"/>
      <c r="R328">
        <f>IF($B328="","",IF($P328&lt;&gt;"",IF($P328&lt;=$N328,"OK","Påbegynt for sent"),IF(NOW()&gt;$N328,"FORFALT","Innen frist")))</f>
        <v/>
      </c>
      <c r="S328">
        <f>IF($B328="","",IF($Q328&lt;&gt;"",IF($Q328&lt;=$O328,"OK","Løst for sent"),IF(NOW()&gt;$O328,"FORFALT","Innen frist")))</f>
        <v/>
      </c>
      <c r="T328" s="10">
        <f>IF(OR($B328="",$Q328=""),"",ROUND(($Q328-$B328)*24,1))</f>
        <v/>
      </c>
    </row>
    <row r="329">
      <c r="A329">
        <f>IF($B329="","","SAK-"&amp;TEXT(ROW()-1,"0000"))</f>
        <v/>
      </c>
      <c r="B329" s="8">
        <f>IF($C329&amp;$H329="","",IF($B329="",NOW(),$B329))</f>
        <v/>
      </c>
      <c r="J329">
        <f>IF($F329="","",IFERROR(VLOOKUP($F329,Oppsett!$E$4:$F$11,2,FALSE),"– ikke tildelt –"))</f>
        <v/>
      </c>
      <c r="L329">
        <f>IF($B329="","",IF($K329&lt;&gt;"",$K329,$J329))</f>
        <v/>
      </c>
      <c r="N329" s="8">
        <f>IF(OR($B329="",$G329=""),"",$B329+VLOOKUP($G329,Oppsett!$H$4:$J$7,2,FALSE)/24)</f>
        <v/>
      </c>
      <c r="O329" s="8">
        <f>IF(OR($B329="",$G329=""),"",$B329+VLOOKUP($G329,Oppsett!$H$4:$J$7,3,FALSE)/24)</f>
        <v/>
      </c>
      <c r="P329" s="8" t="n"/>
      <c r="Q329" s="8" t="n"/>
      <c r="R329">
        <f>IF($B329="","",IF($P329&lt;&gt;"",IF($P329&lt;=$N329,"OK","Påbegynt for sent"),IF(NOW()&gt;$N329,"FORFALT","Innen frist")))</f>
        <v/>
      </c>
      <c r="S329">
        <f>IF($B329="","",IF($Q329&lt;&gt;"",IF($Q329&lt;=$O329,"OK","Løst for sent"),IF(NOW()&gt;$O329,"FORFALT","Innen frist")))</f>
        <v/>
      </c>
      <c r="T329" s="10">
        <f>IF(OR($B329="",$Q329=""),"",ROUND(($Q329-$B329)*24,1))</f>
        <v/>
      </c>
    </row>
    <row r="330">
      <c r="A330">
        <f>IF($B330="","","SAK-"&amp;TEXT(ROW()-1,"0000"))</f>
        <v/>
      </c>
      <c r="B330" s="8">
        <f>IF($C330&amp;$H330="","",IF($B330="",NOW(),$B330))</f>
        <v/>
      </c>
      <c r="J330">
        <f>IF($F330="","",IFERROR(VLOOKUP($F330,Oppsett!$E$4:$F$11,2,FALSE),"– ikke tildelt –"))</f>
        <v/>
      </c>
      <c r="L330">
        <f>IF($B330="","",IF($K330&lt;&gt;"",$K330,$J330))</f>
        <v/>
      </c>
      <c r="N330" s="8">
        <f>IF(OR($B330="",$G330=""),"",$B330+VLOOKUP($G330,Oppsett!$H$4:$J$7,2,FALSE)/24)</f>
        <v/>
      </c>
      <c r="O330" s="8">
        <f>IF(OR($B330="",$G330=""),"",$B330+VLOOKUP($G330,Oppsett!$H$4:$J$7,3,FALSE)/24)</f>
        <v/>
      </c>
      <c r="P330" s="8" t="n"/>
      <c r="Q330" s="8" t="n"/>
      <c r="R330">
        <f>IF($B330="","",IF($P330&lt;&gt;"",IF($P330&lt;=$N330,"OK","Påbegynt for sent"),IF(NOW()&gt;$N330,"FORFALT","Innen frist")))</f>
        <v/>
      </c>
      <c r="S330">
        <f>IF($B330="","",IF($Q330&lt;&gt;"",IF($Q330&lt;=$O330,"OK","Løst for sent"),IF(NOW()&gt;$O330,"FORFALT","Innen frist")))</f>
        <v/>
      </c>
      <c r="T330" s="10">
        <f>IF(OR($B330="",$Q330=""),"",ROUND(($Q330-$B330)*24,1))</f>
        <v/>
      </c>
    </row>
    <row r="331">
      <c r="A331">
        <f>IF($B331="","","SAK-"&amp;TEXT(ROW()-1,"0000"))</f>
        <v/>
      </c>
      <c r="B331" s="8">
        <f>IF($C331&amp;$H331="","",IF($B331="",NOW(),$B331))</f>
        <v/>
      </c>
      <c r="J331">
        <f>IF($F331="","",IFERROR(VLOOKUP($F331,Oppsett!$E$4:$F$11,2,FALSE),"– ikke tildelt –"))</f>
        <v/>
      </c>
      <c r="L331">
        <f>IF($B331="","",IF($K331&lt;&gt;"",$K331,$J331))</f>
        <v/>
      </c>
      <c r="N331" s="8">
        <f>IF(OR($B331="",$G331=""),"",$B331+VLOOKUP($G331,Oppsett!$H$4:$J$7,2,FALSE)/24)</f>
        <v/>
      </c>
      <c r="O331" s="8">
        <f>IF(OR($B331="",$G331=""),"",$B331+VLOOKUP($G331,Oppsett!$H$4:$J$7,3,FALSE)/24)</f>
        <v/>
      </c>
      <c r="P331" s="8" t="n"/>
      <c r="Q331" s="8" t="n"/>
      <c r="R331">
        <f>IF($B331="","",IF($P331&lt;&gt;"",IF($P331&lt;=$N331,"OK","Påbegynt for sent"),IF(NOW()&gt;$N331,"FORFALT","Innen frist")))</f>
        <v/>
      </c>
      <c r="S331">
        <f>IF($B331="","",IF($Q331&lt;&gt;"",IF($Q331&lt;=$O331,"OK","Løst for sent"),IF(NOW()&gt;$O331,"FORFALT","Innen frist")))</f>
        <v/>
      </c>
      <c r="T331" s="10">
        <f>IF(OR($B331="",$Q331=""),"",ROUND(($Q331-$B331)*24,1))</f>
        <v/>
      </c>
    </row>
    <row r="332">
      <c r="A332">
        <f>IF($B332="","","SAK-"&amp;TEXT(ROW()-1,"0000"))</f>
        <v/>
      </c>
      <c r="B332" s="8">
        <f>IF($C332&amp;$H332="","",IF($B332="",NOW(),$B332))</f>
        <v/>
      </c>
      <c r="J332">
        <f>IF($F332="","",IFERROR(VLOOKUP($F332,Oppsett!$E$4:$F$11,2,FALSE),"– ikke tildelt –"))</f>
        <v/>
      </c>
      <c r="L332">
        <f>IF($B332="","",IF($K332&lt;&gt;"",$K332,$J332))</f>
        <v/>
      </c>
      <c r="N332" s="8">
        <f>IF(OR($B332="",$G332=""),"",$B332+VLOOKUP($G332,Oppsett!$H$4:$J$7,2,FALSE)/24)</f>
        <v/>
      </c>
      <c r="O332" s="8">
        <f>IF(OR($B332="",$G332=""),"",$B332+VLOOKUP($G332,Oppsett!$H$4:$J$7,3,FALSE)/24)</f>
        <v/>
      </c>
      <c r="P332" s="8" t="n"/>
      <c r="Q332" s="8" t="n"/>
      <c r="R332">
        <f>IF($B332="","",IF($P332&lt;&gt;"",IF($P332&lt;=$N332,"OK","Påbegynt for sent"),IF(NOW()&gt;$N332,"FORFALT","Innen frist")))</f>
        <v/>
      </c>
      <c r="S332">
        <f>IF($B332="","",IF($Q332&lt;&gt;"",IF($Q332&lt;=$O332,"OK","Løst for sent"),IF(NOW()&gt;$O332,"FORFALT","Innen frist")))</f>
        <v/>
      </c>
      <c r="T332" s="10">
        <f>IF(OR($B332="",$Q332=""),"",ROUND(($Q332-$B332)*24,1))</f>
        <v/>
      </c>
    </row>
    <row r="333">
      <c r="A333">
        <f>IF($B333="","","SAK-"&amp;TEXT(ROW()-1,"0000"))</f>
        <v/>
      </c>
      <c r="B333" s="8">
        <f>IF($C333&amp;$H333="","",IF($B333="",NOW(),$B333))</f>
        <v/>
      </c>
      <c r="J333">
        <f>IF($F333="","",IFERROR(VLOOKUP($F333,Oppsett!$E$4:$F$11,2,FALSE),"– ikke tildelt –"))</f>
        <v/>
      </c>
      <c r="L333">
        <f>IF($B333="","",IF($K333&lt;&gt;"",$K333,$J333))</f>
        <v/>
      </c>
      <c r="N333" s="8">
        <f>IF(OR($B333="",$G333=""),"",$B333+VLOOKUP($G333,Oppsett!$H$4:$J$7,2,FALSE)/24)</f>
        <v/>
      </c>
      <c r="O333" s="8">
        <f>IF(OR($B333="",$G333=""),"",$B333+VLOOKUP($G333,Oppsett!$H$4:$J$7,3,FALSE)/24)</f>
        <v/>
      </c>
      <c r="P333" s="8" t="n"/>
      <c r="Q333" s="8" t="n"/>
      <c r="R333">
        <f>IF($B333="","",IF($P333&lt;&gt;"",IF($P333&lt;=$N333,"OK","Påbegynt for sent"),IF(NOW()&gt;$N333,"FORFALT","Innen frist")))</f>
        <v/>
      </c>
      <c r="S333">
        <f>IF($B333="","",IF($Q333&lt;&gt;"",IF($Q333&lt;=$O333,"OK","Løst for sent"),IF(NOW()&gt;$O333,"FORFALT","Innen frist")))</f>
        <v/>
      </c>
      <c r="T333" s="10">
        <f>IF(OR($B333="",$Q333=""),"",ROUND(($Q333-$B333)*24,1))</f>
        <v/>
      </c>
    </row>
    <row r="334">
      <c r="A334">
        <f>IF($B334="","","SAK-"&amp;TEXT(ROW()-1,"0000"))</f>
        <v/>
      </c>
      <c r="B334" s="8">
        <f>IF($C334&amp;$H334="","",IF($B334="",NOW(),$B334))</f>
        <v/>
      </c>
      <c r="J334">
        <f>IF($F334="","",IFERROR(VLOOKUP($F334,Oppsett!$E$4:$F$11,2,FALSE),"– ikke tildelt –"))</f>
        <v/>
      </c>
      <c r="L334">
        <f>IF($B334="","",IF($K334&lt;&gt;"",$K334,$J334))</f>
        <v/>
      </c>
      <c r="N334" s="8">
        <f>IF(OR($B334="",$G334=""),"",$B334+VLOOKUP($G334,Oppsett!$H$4:$J$7,2,FALSE)/24)</f>
        <v/>
      </c>
      <c r="O334" s="8">
        <f>IF(OR($B334="",$G334=""),"",$B334+VLOOKUP($G334,Oppsett!$H$4:$J$7,3,FALSE)/24)</f>
        <v/>
      </c>
      <c r="P334" s="8" t="n"/>
      <c r="Q334" s="8" t="n"/>
      <c r="R334">
        <f>IF($B334="","",IF($P334&lt;&gt;"",IF($P334&lt;=$N334,"OK","Påbegynt for sent"),IF(NOW()&gt;$N334,"FORFALT","Innen frist")))</f>
        <v/>
      </c>
      <c r="S334">
        <f>IF($B334="","",IF($Q334&lt;&gt;"",IF($Q334&lt;=$O334,"OK","Løst for sent"),IF(NOW()&gt;$O334,"FORFALT","Innen frist")))</f>
        <v/>
      </c>
      <c r="T334" s="10">
        <f>IF(OR($B334="",$Q334=""),"",ROUND(($Q334-$B334)*24,1))</f>
        <v/>
      </c>
    </row>
    <row r="335">
      <c r="A335">
        <f>IF($B335="","","SAK-"&amp;TEXT(ROW()-1,"0000"))</f>
        <v/>
      </c>
      <c r="B335" s="8">
        <f>IF($C335&amp;$H335="","",IF($B335="",NOW(),$B335))</f>
        <v/>
      </c>
      <c r="J335">
        <f>IF($F335="","",IFERROR(VLOOKUP($F335,Oppsett!$E$4:$F$11,2,FALSE),"– ikke tildelt –"))</f>
        <v/>
      </c>
      <c r="L335">
        <f>IF($B335="","",IF($K335&lt;&gt;"",$K335,$J335))</f>
        <v/>
      </c>
      <c r="N335" s="8">
        <f>IF(OR($B335="",$G335=""),"",$B335+VLOOKUP($G335,Oppsett!$H$4:$J$7,2,FALSE)/24)</f>
        <v/>
      </c>
      <c r="O335" s="8">
        <f>IF(OR($B335="",$G335=""),"",$B335+VLOOKUP($G335,Oppsett!$H$4:$J$7,3,FALSE)/24)</f>
        <v/>
      </c>
      <c r="P335" s="8" t="n"/>
      <c r="Q335" s="8" t="n"/>
      <c r="R335">
        <f>IF($B335="","",IF($P335&lt;&gt;"",IF($P335&lt;=$N335,"OK","Påbegynt for sent"),IF(NOW()&gt;$N335,"FORFALT","Innen frist")))</f>
        <v/>
      </c>
      <c r="S335">
        <f>IF($B335="","",IF($Q335&lt;&gt;"",IF($Q335&lt;=$O335,"OK","Løst for sent"),IF(NOW()&gt;$O335,"FORFALT","Innen frist")))</f>
        <v/>
      </c>
      <c r="T335" s="10">
        <f>IF(OR($B335="",$Q335=""),"",ROUND(($Q335-$B335)*24,1))</f>
        <v/>
      </c>
    </row>
    <row r="336">
      <c r="A336">
        <f>IF($B336="","","SAK-"&amp;TEXT(ROW()-1,"0000"))</f>
        <v/>
      </c>
      <c r="B336" s="8">
        <f>IF($C336&amp;$H336="","",IF($B336="",NOW(),$B336))</f>
        <v/>
      </c>
      <c r="J336">
        <f>IF($F336="","",IFERROR(VLOOKUP($F336,Oppsett!$E$4:$F$11,2,FALSE),"– ikke tildelt –"))</f>
        <v/>
      </c>
      <c r="L336">
        <f>IF($B336="","",IF($K336&lt;&gt;"",$K336,$J336))</f>
        <v/>
      </c>
      <c r="N336" s="8">
        <f>IF(OR($B336="",$G336=""),"",$B336+VLOOKUP($G336,Oppsett!$H$4:$J$7,2,FALSE)/24)</f>
        <v/>
      </c>
      <c r="O336" s="8">
        <f>IF(OR($B336="",$G336=""),"",$B336+VLOOKUP($G336,Oppsett!$H$4:$J$7,3,FALSE)/24)</f>
        <v/>
      </c>
      <c r="P336" s="8" t="n"/>
      <c r="Q336" s="8" t="n"/>
      <c r="R336">
        <f>IF($B336="","",IF($P336&lt;&gt;"",IF($P336&lt;=$N336,"OK","Påbegynt for sent"),IF(NOW()&gt;$N336,"FORFALT","Innen frist")))</f>
        <v/>
      </c>
      <c r="S336">
        <f>IF($B336="","",IF($Q336&lt;&gt;"",IF($Q336&lt;=$O336,"OK","Løst for sent"),IF(NOW()&gt;$O336,"FORFALT","Innen frist")))</f>
        <v/>
      </c>
      <c r="T336" s="10">
        <f>IF(OR($B336="",$Q336=""),"",ROUND(($Q336-$B336)*24,1))</f>
        <v/>
      </c>
    </row>
    <row r="337">
      <c r="A337">
        <f>IF($B337="","","SAK-"&amp;TEXT(ROW()-1,"0000"))</f>
        <v/>
      </c>
      <c r="B337" s="8">
        <f>IF($C337&amp;$H337="","",IF($B337="",NOW(),$B337))</f>
        <v/>
      </c>
      <c r="J337">
        <f>IF($F337="","",IFERROR(VLOOKUP($F337,Oppsett!$E$4:$F$11,2,FALSE),"– ikke tildelt –"))</f>
        <v/>
      </c>
      <c r="L337">
        <f>IF($B337="","",IF($K337&lt;&gt;"",$K337,$J337))</f>
        <v/>
      </c>
      <c r="N337" s="8">
        <f>IF(OR($B337="",$G337=""),"",$B337+VLOOKUP($G337,Oppsett!$H$4:$J$7,2,FALSE)/24)</f>
        <v/>
      </c>
      <c r="O337" s="8">
        <f>IF(OR($B337="",$G337=""),"",$B337+VLOOKUP($G337,Oppsett!$H$4:$J$7,3,FALSE)/24)</f>
        <v/>
      </c>
      <c r="P337" s="8" t="n"/>
      <c r="Q337" s="8" t="n"/>
      <c r="R337">
        <f>IF($B337="","",IF($P337&lt;&gt;"",IF($P337&lt;=$N337,"OK","Påbegynt for sent"),IF(NOW()&gt;$N337,"FORFALT","Innen frist")))</f>
        <v/>
      </c>
      <c r="S337">
        <f>IF($B337="","",IF($Q337&lt;&gt;"",IF($Q337&lt;=$O337,"OK","Løst for sent"),IF(NOW()&gt;$O337,"FORFALT","Innen frist")))</f>
        <v/>
      </c>
      <c r="T337" s="10">
        <f>IF(OR($B337="",$Q337=""),"",ROUND(($Q337-$B337)*24,1))</f>
        <v/>
      </c>
    </row>
    <row r="338">
      <c r="A338">
        <f>IF($B338="","","SAK-"&amp;TEXT(ROW()-1,"0000"))</f>
        <v/>
      </c>
      <c r="B338" s="8">
        <f>IF($C338&amp;$H338="","",IF($B338="",NOW(),$B338))</f>
        <v/>
      </c>
      <c r="J338">
        <f>IF($F338="","",IFERROR(VLOOKUP($F338,Oppsett!$E$4:$F$11,2,FALSE),"– ikke tildelt –"))</f>
        <v/>
      </c>
      <c r="L338">
        <f>IF($B338="","",IF($K338&lt;&gt;"",$K338,$J338))</f>
        <v/>
      </c>
      <c r="N338" s="8">
        <f>IF(OR($B338="",$G338=""),"",$B338+VLOOKUP($G338,Oppsett!$H$4:$J$7,2,FALSE)/24)</f>
        <v/>
      </c>
      <c r="O338" s="8">
        <f>IF(OR($B338="",$G338=""),"",$B338+VLOOKUP($G338,Oppsett!$H$4:$J$7,3,FALSE)/24)</f>
        <v/>
      </c>
      <c r="P338" s="8" t="n"/>
      <c r="Q338" s="8" t="n"/>
      <c r="R338">
        <f>IF($B338="","",IF($P338&lt;&gt;"",IF($P338&lt;=$N338,"OK","Påbegynt for sent"),IF(NOW()&gt;$N338,"FORFALT","Innen frist")))</f>
        <v/>
      </c>
      <c r="S338">
        <f>IF($B338="","",IF($Q338&lt;&gt;"",IF($Q338&lt;=$O338,"OK","Løst for sent"),IF(NOW()&gt;$O338,"FORFALT","Innen frist")))</f>
        <v/>
      </c>
      <c r="T338" s="10">
        <f>IF(OR($B338="",$Q338=""),"",ROUND(($Q338-$B338)*24,1))</f>
        <v/>
      </c>
    </row>
    <row r="339">
      <c r="A339">
        <f>IF($B339="","","SAK-"&amp;TEXT(ROW()-1,"0000"))</f>
        <v/>
      </c>
      <c r="B339" s="8">
        <f>IF($C339&amp;$H339="","",IF($B339="",NOW(),$B339))</f>
        <v/>
      </c>
      <c r="J339">
        <f>IF($F339="","",IFERROR(VLOOKUP($F339,Oppsett!$E$4:$F$11,2,FALSE),"– ikke tildelt –"))</f>
        <v/>
      </c>
      <c r="L339">
        <f>IF($B339="","",IF($K339&lt;&gt;"",$K339,$J339))</f>
        <v/>
      </c>
      <c r="N339" s="8">
        <f>IF(OR($B339="",$G339=""),"",$B339+VLOOKUP($G339,Oppsett!$H$4:$J$7,2,FALSE)/24)</f>
        <v/>
      </c>
      <c r="O339" s="8">
        <f>IF(OR($B339="",$G339=""),"",$B339+VLOOKUP($G339,Oppsett!$H$4:$J$7,3,FALSE)/24)</f>
        <v/>
      </c>
      <c r="P339" s="8" t="n"/>
      <c r="Q339" s="8" t="n"/>
      <c r="R339">
        <f>IF($B339="","",IF($P339&lt;&gt;"",IF($P339&lt;=$N339,"OK","Påbegynt for sent"),IF(NOW()&gt;$N339,"FORFALT","Innen frist")))</f>
        <v/>
      </c>
      <c r="S339">
        <f>IF($B339="","",IF($Q339&lt;&gt;"",IF($Q339&lt;=$O339,"OK","Løst for sent"),IF(NOW()&gt;$O339,"FORFALT","Innen frist")))</f>
        <v/>
      </c>
      <c r="T339" s="10">
        <f>IF(OR($B339="",$Q339=""),"",ROUND(($Q339-$B339)*24,1))</f>
        <v/>
      </c>
    </row>
    <row r="340">
      <c r="A340">
        <f>IF($B340="","","SAK-"&amp;TEXT(ROW()-1,"0000"))</f>
        <v/>
      </c>
      <c r="B340" s="8">
        <f>IF($C340&amp;$H340="","",IF($B340="",NOW(),$B340))</f>
        <v/>
      </c>
      <c r="J340">
        <f>IF($F340="","",IFERROR(VLOOKUP($F340,Oppsett!$E$4:$F$11,2,FALSE),"– ikke tildelt –"))</f>
        <v/>
      </c>
      <c r="L340">
        <f>IF($B340="","",IF($K340&lt;&gt;"",$K340,$J340))</f>
        <v/>
      </c>
      <c r="N340" s="8">
        <f>IF(OR($B340="",$G340=""),"",$B340+VLOOKUP($G340,Oppsett!$H$4:$J$7,2,FALSE)/24)</f>
        <v/>
      </c>
      <c r="O340" s="8">
        <f>IF(OR($B340="",$G340=""),"",$B340+VLOOKUP($G340,Oppsett!$H$4:$J$7,3,FALSE)/24)</f>
        <v/>
      </c>
      <c r="P340" s="8" t="n"/>
      <c r="Q340" s="8" t="n"/>
      <c r="R340">
        <f>IF($B340="","",IF($P340&lt;&gt;"",IF($P340&lt;=$N340,"OK","Påbegynt for sent"),IF(NOW()&gt;$N340,"FORFALT","Innen frist")))</f>
        <v/>
      </c>
      <c r="S340">
        <f>IF($B340="","",IF($Q340&lt;&gt;"",IF($Q340&lt;=$O340,"OK","Løst for sent"),IF(NOW()&gt;$O340,"FORFALT","Innen frist")))</f>
        <v/>
      </c>
      <c r="T340" s="10">
        <f>IF(OR($B340="",$Q340=""),"",ROUND(($Q340-$B340)*24,1))</f>
        <v/>
      </c>
    </row>
    <row r="341">
      <c r="A341">
        <f>IF($B341="","","SAK-"&amp;TEXT(ROW()-1,"0000"))</f>
        <v/>
      </c>
      <c r="B341" s="8">
        <f>IF($C341&amp;$H341="","",IF($B341="",NOW(),$B341))</f>
        <v/>
      </c>
      <c r="J341">
        <f>IF($F341="","",IFERROR(VLOOKUP($F341,Oppsett!$E$4:$F$11,2,FALSE),"– ikke tildelt –"))</f>
        <v/>
      </c>
      <c r="L341">
        <f>IF($B341="","",IF($K341&lt;&gt;"",$K341,$J341))</f>
        <v/>
      </c>
      <c r="N341" s="8">
        <f>IF(OR($B341="",$G341=""),"",$B341+VLOOKUP($G341,Oppsett!$H$4:$J$7,2,FALSE)/24)</f>
        <v/>
      </c>
      <c r="O341" s="8">
        <f>IF(OR($B341="",$G341=""),"",$B341+VLOOKUP($G341,Oppsett!$H$4:$J$7,3,FALSE)/24)</f>
        <v/>
      </c>
      <c r="P341" s="8" t="n"/>
      <c r="Q341" s="8" t="n"/>
      <c r="R341">
        <f>IF($B341="","",IF($P341&lt;&gt;"",IF($P341&lt;=$N341,"OK","Påbegynt for sent"),IF(NOW()&gt;$N341,"FORFALT","Innen frist")))</f>
        <v/>
      </c>
      <c r="S341">
        <f>IF($B341="","",IF($Q341&lt;&gt;"",IF($Q341&lt;=$O341,"OK","Løst for sent"),IF(NOW()&gt;$O341,"FORFALT","Innen frist")))</f>
        <v/>
      </c>
      <c r="T341" s="10">
        <f>IF(OR($B341="",$Q341=""),"",ROUND(($Q341-$B341)*24,1))</f>
        <v/>
      </c>
    </row>
    <row r="342">
      <c r="A342">
        <f>IF($B342="","","SAK-"&amp;TEXT(ROW()-1,"0000"))</f>
        <v/>
      </c>
      <c r="B342" s="8">
        <f>IF($C342&amp;$H342="","",IF($B342="",NOW(),$B342))</f>
        <v/>
      </c>
      <c r="J342">
        <f>IF($F342="","",IFERROR(VLOOKUP($F342,Oppsett!$E$4:$F$11,2,FALSE),"– ikke tildelt –"))</f>
        <v/>
      </c>
      <c r="L342">
        <f>IF($B342="","",IF($K342&lt;&gt;"",$K342,$J342))</f>
        <v/>
      </c>
      <c r="N342" s="8">
        <f>IF(OR($B342="",$G342=""),"",$B342+VLOOKUP($G342,Oppsett!$H$4:$J$7,2,FALSE)/24)</f>
        <v/>
      </c>
      <c r="O342" s="8">
        <f>IF(OR($B342="",$G342=""),"",$B342+VLOOKUP($G342,Oppsett!$H$4:$J$7,3,FALSE)/24)</f>
        <v/>
      </c>
      <c r="P342" s="8" t="n"/>
      <c r="Q342" s="8" t="n"/>
      <c r="R342">
        <f>IF($B342="","",IF($P342&lt;&gt;"",IF($P342&lt;=$N342,"OK","Påbegynt for sent"),IF(NOW()&gt;$N342,"FORFALT","Innen frist")))</f>
        <v/>
      </c>
      <c r="S342">
        <f>IF($B342="","",IF($Q342&lt;&gt;"",IF($Q342&lt;=$O342,"OK","Løst for sent"),IF(NOW()&gt;$O342,"FORFALT","Innen frist")))</f>
        <v/>
      </c>
      <c r="T342" s="10">
        <f>IF(OR($B342="",$Q342=""),"",ROUND(($Q342-$B342)*24,1))</f>
        <v/>
      </c>
    </row>
    <row r="343">
      <c r="A343">
        <f>IF($B343="","","SAK-"&amp;TEXT(ROW()-1,"0000"))</f>
        <v/>
      </c>
      <c r="B343" s="8">
        <f>IF($C343&amp;$H343="","",IF($B343="",NOW(),$B343))</f>
        <v/>
      </c>
      <c r="J343">
        <f>IF($F343="","",IFERROR(VLOOKUP($F343,Oppsett!$E$4:$F$11,2,FALSE),"– ikke tildelt –"))</f>
        <v/>
      </c>
      <c r="L343">
        <f>IF($B343="","",IF($K343&lt;&gt;"",$K343,$J343))</f>
        <v/>
      </c>
      <c r="N343" s="8">
        <f>IF(OR($B343="",$G343=""),"",$B343+VLOOKUP($G343,Oppsett!$H$4:$J$7,2,FALSE)/24)</f>
        <v/>
      </c>
      <c r="O343" s="8">
        <f>IF(OR($B343="",$G343=""),"",$B343+VLOOKUP($G343,Oppsett!$H$4:$J$7,3,FALSE)/24)</f>
        <v/>
      </c>
      <c r="P343" s="8" t="n"/>
      <c r="Q343" s="8" t="n"/>
      <c r="R343">
        <f>IF($B343="","",IF($P343&lt;&gt;"",IF($P343&lt;=$N343,"OK","Påbegynt for sent"),IF(NOW()&gt;$N343,"FORFALT","Innen frist")))</f>
        <v/>
      </c>
      <c r="S343">
        <f>IF($B343="","",IF($Q343&lt;&gt;"",IF($Q343&lt;=$O343,"OK","Løst for sent"),IF(NOW()&gt;$O343,"FORFALT","Innen frist")))</f>
        <v/>
      </c>
      <c r="T343" s="10">
        <f>IF(OR($B343="",$Q343=""),"",ROUND(($Q343-$B343)*24,1))</f>
        <v/>
      </c>
    </row>
    <row r="344">
      <c r="A344">
        <f>IF($B344="","","SAK-"&amp;TEXT(ROW()-1,"0000"))</f>
        <v/>
      </c>
      <c r="B344" s="8">
        <f>IF($C344&amp;$H344="","",IF($B344="",NOW(),$B344))</f>
        <v/>
      </c>
      <c r="J344">
        <f>IF($F344="","",IFERROR(VLOOKUP($F344,Oppsett!$E$4:$F$11,2,FALSE),"– ikke tildelt –"))</f>
        <v/>
      </c>
      <c r="L344">
        <f>IF($B344="","",IF($K344&lt;&gt;"",$K344,$J344))</f>
        <v/>
      </c>
      <c r="N344" s="8">
        <f>IF(OR($B344="",$G344=""),"",$B344+VLOOKUP($G344,Oppsett!$H$4:$J$7,2,FALSE)/24)</f>
        <v/>
      </c>
      <c r="O344" s="8">
        <f>IF(OR($B344="",$G344=""),"",$B344+VLOOKUP($G344,Oppsett!$H$4:$J$7,3,FALSE)/24)</f>
        <v/>
      </c>
      <c r="P344" s="8" t="n"/>
      <c r="Q344" s="8" t="n"/>
      <c r="R344">
        <f>IF($B344="","",IF($P344&lt;&gt;"",IF($P344&lt;=$N344,"OK","Påbegynt for sent"),IF(NOW()&gt;$N344,"FORFALT","Innen frist")))</f>
        <v/>
      </c>
      <c r="S344">
        <f>IF($B344="","",IF($Q344&lt;&gt;"",IF($Q344&lt;=$O344,"OK","Løst for sent"),IF(NOW()&gt;$O344,"FORFALT","Innen frist")))</f>
        <v/>
      </c>
      <c r="T344" s="10">
        <f>IF(OR($B344="",$Q344=""),"",ROUND(($Q344-$B344)*24,1))</f>
        <v/>
      </c>
    </row>
    <row r="345">
      <c r="A345">
        <f>IF($B345="","","SAK-"&amp;TEXT(ROW()-1,"0000"))</f>
        <v/>
      </c>
      <c r="B345" s="8">
        <f>IF($C345&amp;$H345="","",IF($B345="",NOW(),$B345))</f>
        <v/>
      </c>
      <c r="J345">
        <f>IF($F345="","",IFERROR(VLOOKUP($F345,Oppsett!$E$4:$F$11,2,FALSE),"– ikke tildelt –"))</f>
        <v/>
      </c>
      <c r="L345">
        <f>IF($B345="","",IF($K345&lt;&gt;"",$K345,$J345))</f>
        <v/>
      </c>
      <c r="N345" s="8">
        <f>IF(OR($B345="",$G345=""),"",$B345+VLOOKUP($G345,Oppsett!$H$4:$J$7,2,FALSE)/24)</f>
        <v/>
      </c>
      <c r="O345" s="8">
        <f>IF(OR($B345="",$G345=""),"",$B345+VLOOKUP($G345,Oppsett!$H$4:$J$7,3,FALSE)/24)</f>
        <v/>
      </c>
      <c r="P345" s="8" t="n"/>
      <c r="Q345" s="8" t="n"/>
      <c r="R345">
        <f>IF($B345="","",IF($P345&lt;&gt;"",IF($P345&lt;=$N345,"OK","Påbegynt for sent"),IF(NOW()&gt;$N345,"FORFALT","Innen frist")))</f>
        <v/>
      </c>
      <c r="S345">
        <f>IF($B345="","",IF($Q345&lt;&gt;"",IF($Q345&lt;=$O345,"OK","Løst for sent"),IF(NOW()&gt;$O345,"FORFALT","Innen frist")))</f>
        <v/>
      </c>
      <c r="T345" s="10">
        <f>IF(OR($B345="",$Q345=""),"",ROUND(($Q345-$B345)*24,1))</f>
        <v/>
      </c>
    </row>
    <row r="346">
      <c r="A346">
        <f>IF($B346="","","SAK-"&amp;TEXT(ROW()-1,"0000"))</f>
        <v/>
      </c>
      <c r="B346" s="8">
        <f>IF($C346&amp;$H346="","",IF($B346="",NOW(),$B346))</f>
        <v/>
      </c>
      <c r="J346">
        <f>IF($F346="","",IFERROR(VLOOKUP($F346,Oppsett!$E$4:$F$11,2,FALSE),"– ikke tildelt –"))</f>
        <v/>
      </c>
      <c r="L346">
        <f>IF($B346="","",IF($K346&lt;&gt;"",$K346,$J346))</f>
        <v/>
      </c>
      <c r="N346" s="8">
        <f>IF(OR($B346="",$G346=""),"",$B346+VLOOKUP($G346,Oppsett!$H$4:$J$7,2,FALSE)/24)</f>
        <v/>
      </c>
      <c r="O346" s="8">
        <f>IF(OR($B346="",$G346=""),"",$B346+VLOOKUP($G346,Oppsett!$H$4:$J$7,3,FALSE)/24)</f>
        <v/>
      </c>
      <c r="P346" s="8" t="n"/>
      <c r="Q346" s="8" t="n"/>
      <c r="R346">
        <f>IF($B346="","",IF($P346&lt;&gt;"",IF($P346&lt;=$N346,"OK","Påbegynt for sent"),IF(NOW()&gt;$N346,"FORFALT","Innen frist")))</f>
        <v/>
      </c>
      <c r="S346">
        <f>IF($B346="","",IF($Q346&lt;&gt;"",IF($Q346&lt;=$O346,"OK","Løst for sent"),IF(NOW()&gt;$O346,"FORFALT","Innen frist")))</f>
        <v/>
      </c>
      <c r="T346" s="10">
        <f>IF(OR($B346="",$Q346=""),"",ROUND(($Q346-$B346)*24,1))</f>
        <v/>
      </c>
    </row>
    <row r="347">
      <c r="A347">
        <f>IF($B347="","","SAK-"&amp;TEXT(ROW()-1,"0000"))</f>
        <v/>
      </c>
      <c r="B347" s="8">
        <f>IF($C347&amp;$H347="","",IF($B347="",NOW(),$B347))</f>
        <v/>
      </c>
      <c r="J347">
        <f>IF($F347="","",IFERROR(VLOOKUP($F347,Oppsett!$E$4:$F$11,2,FALSE),"– ikke tildelt –"))</f>
        <v/>
      </c>
      <c r="L347">
        <f>IF($B347="","",IF($K347&lt;&gt;"",$K347,$J347))</f>
        <v/>
      </c>
      <c r="N347" s="8">
        <f>IF(OR($B347="",$G347=""),"",$B347+VLOOKUP($G347,Oppsett!$H$4:$J$7,2,FALSE)/24)</f>
        <v/>
      </c>
      <c r="O347" s="8">
        <f>IF(OR($B347="",$G347=""),"",$B347+VLOOKUP($G347,Oppsett!$H$4:$J$7,3,FALSE)/24)</f>
        <v/>
      </c>
      <c r="P347" s="8" t="n"/>
      <c r="Q347" s="8" t="n"/>
      <c r="R347">
        <f>IF($B347="","",IF($P347&lt;&gt;"",IF($P347&lt;=$N347,"OK","Påbegynt for sent"),IF(NOW()&gt;$N347,"FORFALT","Innen frist")))</f>
        <v/>
      </c>
      <c r="S347">
        <f>IF($B347="","",IF($Q347&lt;&gt;"",IF($Q347&lt;=$O347,"OK","Løst for sent"),IF(NOW()&gt;$O347,"FORFALT","Innen frist")))</f>
        <v/>
      </c>
      <c r="T347" s="10">
        <f>IF(OR($B347="",$Q347=""),"",ROUND(($Q347-$B347)*24,1))</f>
        <v/>
      </c>
    </row>
    <row r="348">
      <c r="A348">
        <f>IF($B348="","","SAK-"&amp;TEXT(ROW()-1,"0000"))</f>
        <v/>
      </c>
      <c r="B348" s="8">
        <f>IF($C348&amp;$H348="","",IF($B348="",NOW(),$B348))</f>
        <v/>
      </c>
      <c r="J348">
        <f>IF($F348="","",IFERROR(VLOOKUP($F348,Oppsett!$E$4:$F$11,2,FALSE),"– ikke tildelt –"))</f>
        <v/>
      </c>
      <c r="L348">
        <f>IF($B348="","",IF($K348&lt;&gt;"",$K348,$J348))</f>
        <v/>
      </c>
      <c r="N348" s="8">
        <f>IF(OR($B348="",$G348=""),"",$B348+VLOOKUP($G348,Oppsett!$H$4:$J$7,2,FALSE)/24)</f>
        <v/>
      </c>
      <c r="O348" s="8">
        <f>IF(OR($B348="",$G348=""),"",$B348+VLOOKUP($G348,Oppsett!$H$4:$J$7,3,FALSE)/24)</f>
        <v/>
      </c>
      <c r="P348" s="8" t="n"/>
      <c r="Q348" s="8" t="n"/>
      <c r="R348">
        <f>IF($B348="","",IF($P348&lt;&gt;"",IF($P348&lt;=$N348,"OK","Påbegynt for sent"),IF(NOW()&gt;$N348,"FORFALT","Innen frist")))</f>
        <v/>
      </c>
      <c r="S348">
        <f>IF($B348="","",IF($Q348&lt;&gt;"",IF($Q348&lt;=$O348,"OK","Løst for sent"),IF(NOW()&gt;$O348,"FORFALT","Innen frist")))</f>
        <v/>
      </c>
      <c r="T348" s="10">
        <f>IF(OR($B348="",$Q348=""),"",ROUND(($Q348-$B348)*24,1))</f>
        <v/>
      </c>
    </row>
    <row r="349">
      <c r="A349">
        <f>IF($B349="","","SAK-"&amp;TEXT(ROW()-1,"0000"))</f>
        <v/>
      </c>
      <c r="B349" s="8">
        <f>IF($C349&amp;$H349="","",IF($B349="",NOW(),$B349))</f>
        <v/>
      </c>
      <c r="J349">
        <f>IF($F349="","",IFERROR(VLOOKUP($F349,Oppsett!$E$4:$F$11,2,FALSE),"– ikke tildelt –"))</f>
        <v/>
      </c>
      <c r="L349">
        <f>IF($B349="","",IF($K349&lt;&gt;"",$K349,$J349))</f>
        <v/>
      </c>
      <c r="N349" s="8">
        <f>IF(OR($B349="",$G349=""),"",$B349+VLOOKUP($G349,Oppsett!$H$4:$J$7,2,FALSE)/24)</f>
        <v/>
      </c>
      <c r="O349" s="8">
        <f>IF(OR($B349="",$G349=""),"",$B349+VLOOKUP($G349,Oppsett!$H$4:$J$7,3,FALSE)/24)</f>
        <v/>
      </c>
      <c r="P349" s="8" t="n"/>
      <c r="Q349" s="8" t="n"/>
      <c r="R349">
        <f>IF($B349="","",IF($P349&lt;&gt;"",IF($P349&lt;=$N349,"OK","Påbegynt for sent"),IF(NOW()&gt;$N349,"FORFALT","Innen frist")))</f>
        <v/>
      </c>
      <c r="S349">
        <f>IF($B349="","",IF($Q349&lt;&gt;"",IF($Q349&lt;=$O349,"OK","Løst for sent"),IF(NOW()&gt;$O349,"FORFALT","Innen frist")))</f>
        <v/>
      </c>
      <c r="T349" s="10">
        <f>IF(OR($B349="",$Q349=""),"",ROUND(($Q349-$B349)*24,1))</f>
        <v/>
      </c>
    </row>
    <row r="350">
      <c r="A350">
        <f>IF($B350="","","SAK-"&amp;TEXT(ROW()-1,"0000"))</f>
        <v/>
      </c>
      <c r="B350" s="8">
        <f>IF($C350&amp;$H350="","",IF($B350="",NOW(),$B350))</f>
        <v/>
      </c>
      <c r="J350">
        <f>IF($F350="","",IFERROR(VLOOKUP($F350,Oppsett!$E$4:$F$11,2,FALSE),"– ikke tildelt –"))</f>
        <v/>
      </c>
      <c r="L350">
        <f>IF($B350="","",IF($K350&lt;&gt;"",$K350,$J350))</f>
        <v/>
      </c>
      <c r="N350" s="8">
        <f>IF(OR($B350="",$G350=""),"",$B350+VLOOKUP($G350,Oppsett!$H$4:$J$7,2,FALSE)/24)</f>
        <v/>
      </c>
      <c r="O350" s="8">
        <f>IF(OR($B350="",$G350=""),"",$B350+VLOOKUP($G350,Oppsett!$H$4:$J$7,3,FALSE)/24)</f>
        <v/>
      </c>
      <c r="P350" s="8" t="n"/>
      <c r="Q350" s="8" t="n"/>
      <c r="R350">
        <f>IF($B350="","",IF($P350&lt;&gt;"",IF($P350&lt;=$N350,"OK","Påbegynt for sent"),IF(NOW()&gt;$N350,"FORFALT","Innen frist")))</f>
        <v/>
      </c>
      <c r="S350">
        <f>IF($B350="","",IF($Q350&lt;&gt;"",IF($Q350&lt;=$O350,"OK","Løst for sent"),IF(NOW()&gt;$O350,"FORFALT","Innen frist")))</f>
        <v/>
      </c>
      <c r="T350" s="10">
        <f>IF(OR($B350="",$Q350=""),"",ROUND(($Q350-$B350)*24,1))</f>
        <v/>
      </c>
    </row>
    <row r="351">
      <c r="A351">
        <f>IF($B351="","","SAK-"&amp;TEXT(ROW()-1,"0000"))</f>
        <v/>
      </c>
      <c r="B351" s="8">
        <f>IF($C351&amp;$H351="","",IF($B351="",NOW(),$B351))</f>
        <v/>
      </c>
      <c r="J351">
        <f>IF($F351="","",IFERROR(VLOOKUP($F351,Oppsett!$E$4:$F$11,2,FALSE),"– ikke tildelt –"))</f>
        <v/>
      </c>
      <c r="L351">
        <f>IF($B351="","",IF($K351&lt;&gt;"",$K351,$J351))</f>
        <v/>
      </c>
      <c r="N351" s="8">
        <f>IF(OR($B351="",$G351=""),"",$B351+VLOOKUP($G351,Oppsett!$H$4:$J$7,2,FALSE)/24)</f>
        <v/>
      </c>
      <c r="O351" s="8">
        <f>IF(OR($B351="",$G351=""),"",$B351+VLOOKUP($G351,Oppsett!$H$4:$J$7,3,FALSE)/24)</f>
        <v/>
      </c>
      <c r="P351" s="8" t="n"/>
      <c r="Q351" s="8" t="n"/>
      <c r="R351">
        <f>IF($B351="","",IF($P351&lt;&gt;"",IF($P351&lt;=$N351,"OK","Påbegynt for sent"),IF(NOW()&gt;$N351,"FORFALT","Innen frist")))</f>
        <v/>
      </c>
      <c r="S351">
        <f>IF($B351="","",IF($Q351&lt;&gt;"",IF($Q351&lt;=$O351,"OK","Løst for sent"),IF(NOW()&gt;$O351,"FORFALT","Innen frist")))</f>
        <v/>
      </c>
      <c r="T351" s="10">
        <f>IF(OR($B351="",$Q351=""),"",ROUND(($Q351-$B351)*24,1))</f>
        <v/>
      </c>
    </row>
    <row r="352">
      <c r="A352">
        <f>IF($B352="","","SAK-"&amp;TEXT(ROW()-1,"0000"))</f>
        <v/>
      </c>
      <c r="B352" s="8">
        <f>IF($C352&amp;$H352="","",IF($B352="",NOW(),$B352))</f>
        <v/>
      </c>
      <c r="J352">
        <f>IF($F352="","",IFERROR(VLOOKUP($F352,Oppsett!$E$4:$F$11,2,FALSE),"– ikke tildelt –"))</f>
        <v/>
      </c>
      <c r="L352">
        <f>IF($B352="","",IF($K352&lt;&gt;"",$K352,$J352))</f>
        <v/>
      </c>
      <c r="N352" s="8">
        <f>IF(OR($B352="",$G352=""),"",$B352+VLOOKUP($G352,Oppsett!$H$4:$J$7,2,FALSE)/24)</f>
        <v/>
      </c>
      <c r="O352" s="8">
        <f>IF(OR($B352="",$G352=""),"",$B352+VLOOKUP($G352,Oppsett!$H$4:$J$7,3,FALSE)/24)</f>
        <v/>
      </c>
      <c r="P352" s="8" t="n"/>
      <c r="Q352" s="8" t="n"/>
      <c r="R352">
        <f>IF($B352="","",IF($P352&lt;&gt;"",IF($P352&lt;=$N352,"OK","Påbegynt for sent"),IF(NOW()&gt;$N352,"FORFALT","Innen frist")))</f>
        <v/>
      </c>
      <c r="S352">
        <f>IF($B352="","",IF($Q352&lt;&gt;"",IF($Q352&lt;=$O352,"OK","Løst for sent"),IF(NOW()&gt;$O352,"FORFALT","Innen frist")))</f>
        <v/>
      </c>
      <c r="T352" s="10">
        <f>IF(OR($B352="",$Q352=""),"",ROUND(($Q352-$B352)*24,1))</f>
        <v/>
      </c>
    </row>
    <row r="353">
      <c r="A353">
        <f>IF($B353="","","SAK-"&amp;TEXT(ROW()-1,"0000"))</f>
        <v/>
      </c>
      <c r="B353" s="8">
        <f>IF($C353&amp;$H353="","",IF($B353="",NOW(),$B353))</f>
        <v/>
      </c>
      <c r="J353">
        <f>IF($F353="","",IFERROR(VLOOKUP($F353,Oppsett!$E$4:$F$11,2,FALSE),"– ikke tildelt –"))</f>
        <v/>
      </c>
      <c r="L353">
        <f>IF($B353="","",IF($K353&lt;&gt;"",$K353,$J353))</f>
        <v/>
      </c>
      <c r="N353" s="8">
        <f>IF(OR($B353="",$G353=""),"",$B353+VLOOKUP($G353,Oppsett!$H$4:$J$7,2,FALSE)/24)</f>
        <v/>
      </c>
      <c r="O353" s="8">
        <f>IF(OR($B353="",$G353=""),"",$B353+VLOOKUP($G353,Oppsett!$H$4:$J$7,3,FALSE)/24)</f>
        <v/>
      </c>
      <c r="P353" s="8" t="n"/>
      <c r="Q353" s="8" t="n"/>
      <c r="R353">
        <f>IF($B353="","",IF($P353&lt;&gt;"",IF($P353&lt;=$N353,"OK","Påbegynt for sent"),IF(NOW()&gt;$N353,"FORFALT","Innen frist")))</f>
        <v/>
      </c>
      <c r="S353">
        <f>IF($B353="","",IF($Q353&lt;&gt;"",IF($Q353&lt;=$O353,"OK","Løst for sent"),IF(NOW()&gt;$O353,"FORFALT","Innen frist")))</f>
        <v/>
      </c>
      <c r="T353" s="10">
        <f>IF(OR($B353="",$Q353=""),"",ROUND(($Q353-$B353)*24,1))</f>
        <v/>
      </c>
    </row>
    <row r="354">
      <c r="A354">
        <f>IF($B354="","","SAK-"&amp;TEXT(ROW()-1,"0000"))</f>
        <v/>
      </c>
      <c r="B354" s="8">
        <f>IF($C354&amp;$H354="","",IF($B354="",NOW(),$B354))</f>
        <v/>
      </c>
      <c r="J354">
        <f>IF($F354="","",IFERROR(VLOOKUP($F354,Oppsett!$E$4:$F$11,2,FALSE),"– ikke tildelt –"))</f>
        <v/>
      </c>
      <c r="L354">
        <f>IF($B354="","",IF($K354&lt;&gt;"",$K354,$J354))</f>
        <v/>
      </c>
      <c r="N354" s="8">
        <f>IF(OR($B354="",$G354=""),"",$B354+VLOOKUP($G354,Oppsett!$H$4:$J$7,2,FALSE)/24)</f>
        <v/>
      </c>
      <c r="O354" s="8">
        <f>IF(OR($B354="",$G354=""),"",$B354+VLOOKUP($G354,Oppsett!$H$4:$J$7,3,FALSE)/24)</f>
        <v/>
      </c>
      <c r="P354" s="8" t="n"/>
      <c r="Q354" s="8" t="n"/>
      <c r="R354">
        <f>IF($B354="","",IF($P354&lt;&gt;"",IF($P354&lt;=$N354,"OK","Påbegynt for sent"),IF(NOW()&gt;$N354,"FORFALT","Innen frist")))</f>
        <v/>
      </c>
      <c r="S354">
        <f>IF($B354="","",IF($Q354&lt;&gt;"",IF($Q354&lt;=$O354,"OK","Løst for sent"),IF(NOW()&gt;$O354,"FORFALT","Innen frist")))</f>
        <v/>
      </c>
      <c r="T354" s="10">
        <f>IF(OR($B354="",$Q354=""),"",ROUND(($Q354-$B354)*24,1))</f>
        <v/>
      </c>
    </row>
    <row r="355">
      <c r="A355">
        <f>IF($B355="","","SAK-"&amp;TEXT(ROW()-1,"0000"))</f>
        <v/>
      </c>
      <c r="B355" s="8">
        <f>IF($C355&amp;$H355="","",IF($B355="",NOW(),$B355))</f>
        <v/>
      </c>
      <c r="J355">
        <f>IF($F355="","",IFERROR(VLOOKUP($F355,Oppsett!$E$4:$F$11,2,FALSE),"– ikke tildelt –"))</f>
        <v/>
      </c>
      <c r="L355">
        <f>IF($B355="","",IF($K355&lt;&gt;"",$K355,$J355))</f>
        <v/>
      </c>
      <c r="N355" s="8">
        <f>IF(OR($B355="",$G355=""),"",$B355+VLOOKUP($G355,Oppsett!$H$4:$J$7,2,FALSE)/24)</f>
        <v/>
      </c>
      <c r="O355" s="8">
        <f>IF(OR($B355="",$G355=""),"",$B355+VLOOKUP($G355,Oppsett!$H$4:$J$7,3,FALSE)/24)</f>
        <v/>
      </c>
      <c r="P355" s="8" t="n"/>
      <c r="Q355" s="8" t="n"/>
      <c r="R355">
        <f>IF($B355="","",IF($P355&lt;&gt;"",IF($P355&lt;=$N355,"OK","Påbegynt for sent"),IF(NOW()&gt;$N355,"FORFALT","Innen frist")))</f>
        <v/>
      </c>
      <c r="S355">
        <f>IF($B355="","",IF($Q355&lt;&gt;"",IF($Q355&lt;=$O355,"OK","Løst for sent"),IF(NOW()&gt;$O355,"FORFALT","Innen frist")))</f>
        <v/>
      </c>
      <c r="T355" s="10">
        <f>IF(OR($B355="",$Q355=""),"",ROUND(($Q355-$B355)*24,1))</f>
        <v/>
      </c>
    </row>
    <row r="356">
      <c r="A356">
        <f>IF($B356="","","SAK-"&amp;TEXT(ROW()-1,"0000"))</f>
        <v/>
      </c>
      <c r="B356" s="8">
        <f>IF($C356&amp;$H356="","",IF($B356="",NOW(),$B356))</f>
        <v/>
      </c>
      <c r="J356">
        <f>IF($F356="","",IFERROR(VLOOKUP($F356,Oppsett!$E$4:$F$11,2,FALSE),"– ikke tildelt –"))</f>
        <v/>
      </c>
      <c r="L356">
        <f>IF($B356="","",IF($K356&lt;&gt;"",$K356,$J356))</f>
        <v/>
      </c>
      <c r="N356" s="8">
        <f>IF(OR($B356="",$G356=""),"",$B356+VLOOKUP($G356,Oppsett!$H$4:$J$7,2,FALSE)/24)</f>
        <v/>
      </c>
      <c r="O356" s="8">
        <f>IF(OR($B356="",$G356=""),"",$B356+VLOOKUP($G356,Oppsett!$H$4:$J$7,3,FALSE)/24)</f>
        <v/>
      </c>
      <c r="P356" s="8" t="n"/>
      <c r="Q356" s="8" t="n"/>
      <c r="R356">
        <f>IF($B356="","",IF($P356&lt;&gt;"",IF($P356&lt;=$N356,"OK","Påbegynt for sent"),IF(NOW()&gt;$N356,"FORFALT","Innen frist")))</f>
        <v/>
      </c>
      <c r="S356">
        <f>IF($B356="","",IF($Q356&lt;&gt;"",IF($Q356&lt;=$O356,"OK","Løst for sent"),IF(NOW()&gt;$O356,"FORFALT","Innen frist")))</f>
        <v/>
      </c>
      <c r="T356" s="10">
        <f>IF(OR($B356="",$Q356=""),"",ROUND(($Q356-$B356)*24,1))</f>
        <v/>
      </c>
    </row>
    <row r="357">
      <c r="A357">
        <f>IF($B357="","","SAK-"&amp;TEXT(ROW()-1,"0000"))</f>
        <v/>
      </c>
      <c r="B357" s="8">
        <f>IF($C357&amp;$H357="","",IF($B357="",NOW(),$B357))</f>
        <v/>
      </c>
      <c r="J357">
        <f>IF($F357="","",IFERROR(VLOOKUP($F357,Oppsett!$E$4:$F$11,2,FALSE),"– ikke tildelt –"))</f>
        <v/>
      </c>
      <c r="L357">
        <f>IF($B357="","",IF($K357&lt;&gt;"",$K357,$J357))</f>
        <v/>
      </c>
      <c r="N357" s="8">
        <f>IF(OR($B357="",$G357=""),"",$B357+VLOOKUP($G357,Oppsett!$H$4:$J$7,2,FALSE)/24)</f>
        <v/>
      </c>
      <c r="O357" s="8">
        <f>IF(OR($B357="",$G357=""),"",$B357+VLOOKUP($G357,Oppsett!$H$4:$J$7,3,FALSE)/24)</f>
        <v/>
      </c>
      <c r="P357" s="8" t="n"/>
      <c r="Q357" s="8" t="n"/>
      <c r="R357">
        <f>IF($B357="","",IF($P357&lt;&gt;"",IF($P357&lt;=$N357,"OK","Påbegynt for sent"),IF(NOW()&gt;$N357,"FORFALT","Innen frist")))</f>
        <v/>
      </c>
      <c r="S357">
        <f>IF($B357="","",IF($Q357&lt;&gt;"",IF($Q357&lt;=$O357,"OK","Løst for sent"),IF(NOW()&gt;$O357,"FORFALT","Innen frist")))</f>
        <v/>
      </c>
      <c r="T357" s="10">
        <f>IF(OR($B357="",$Q357=""),"",ROUND(($Q357-$B357)*24,1))</f>
        <v/>
      </c>
    </row>
    <row r="358">
      <c r="A358">
        <f>IF($B358="","","SAK-"&amp;TEXT(ROW()-1,"0000"))</f>
        <v/>
      </c>
      <c r="B358" s="8">
        <f>IF($C358&amp;$H358="","",IF($B358="",NOW(),$B358))</f>
        <v/>
      </c>
      <c r="J358">
        <f>IF($F358="","",IFERROR(VLOOKUP($F358,Oppsett!$E$4:$F$11,2,FALSE),"– ikke tildelt –"))</f>
        <v/>
      </c>
      <c r="L358">
        <f>IF($B358="","",IF($K358&lt;&gt;"",$K358,$J358))</f>
        <v/>
      </c>
      <c r="N358" s="8">
        <f>IF(OR($B358="",$G358=""),"",$B358+VLOOKUP($G358,Oppsett!$H$4:$J$7,2,FALSE)/24)</f>
        <v/>
      </c>
      <c r="O358" s="8">
        <f>IF(OR($B358="",$G358=""),"",$B358+VLOOKUP($G358,Oppsett!$H$4:$J$7,3,FALSE)/24)</f>
        <v/>
      </c>
      <c r="P358" s="8" t="n"/>
      <c r="Q358" s="8" t="n"/>
      <c r="R358">
        <f>IF($B358="","",IF($P358&lt;&gt;"",IF($P358&lt;=$N358,"OK","Påbegynt for sent"),IF(NOW()&gt;$N358,"FORFALT","Innen frist")))</f>
        <v/>
      </c>
      <c r="S358">
        <f>IF($B358="","",IF($Q358&lt;&gt;"",IF($Q358&lt;=$O358,"OK","Løst for sent"),IF(NOW()&gt;$O358,"FORFALT","Innen frist")))</f>
        <v/>
      </c>
      <c r="T358" s="10">
        <f>IF(OR($B358="",$Q358=""),"",ROUND(($Q358-$B358)*24,1))</f>
        <v/>
      </c>
    </row>
    <row r="359">
      <c r="A359">
        <f>IF($B359="","","SAK-"&amp;TEXT(ROW()-1,"0000"))</f>
        <v/>
      </c>
      <c r="B359" s="8">
        <f>IF($C359&amp;$H359="","",IF($B359="",NOW(),$B359))</f>
        <v/>
      </c>
      <c r="J359">
        <f>IF($F359="","",IFERROR(VLOOKUP($F359,Oppsett!$E$4:$F$11,2,FALSE),"– ikke tildelt –"))</f>
        <v/>
      </c>
      <c r="L359">
        <f>IF($B359="","",IF($K359&lt;&gt;"",$K359,$J359))</f>
        <v/>
      </c>
      <c r="N359" s="8">
        <f>IF(OR($B359="",$G359=""),"",$B359+VLOOKUP($G359,Oppsett!$H$4:$J$7,2,FALSE)/24)</f>
        <v/>
      </c>
      <c r="O359" s="8">
        <f>IF(OR($B359="",$G359=""),"",$B359+VLOOKUP($G359,Oppsett!$H$4:$J$7,3,FALSE)/24)</f>
        <v/>
      </c>
      <c r="P359" s="8" t="n"/>
      <c r="Q359" s="8" t="n"/>
      <c r="R359">
        <f>IF($B359="","",IF($P359&lt;&gt;"",IF($P359&lt;=$N359,"OK","Påbegynt for sent"),IF(NOW()&gt;$N359,"FORFALT","Innen frist")))</f>
        <v/>
      </c>
      <c r="S359">
        <f>IF($B359="","",IF($Q359&lt;&gt;"",IF($Q359&lt;=$O359,"OK","Løst for sent"),IF(NOW()&gt;$O359,"FORFALT","Innen frist")))</f>
        <v/>
      </c>
      <c r="T359" s="10">
        <f>IF(OR($B359="",$Q359=""),"",ROUND(($Q359-$B359)*24,1))</f>
        <v/>
      </c>
    </row>
    <row r="360">
      <c r="A360">
        <f>IF($B360="","","SAK-"&amp;TEXT(ROW()-1,"0000"))</f>
        <v/>
      </c>
      <c r="B360" s="8">
        <f>IF($C360&amp;$H360="","",IF($B360="",NOW(),$B360))</f>
        <v/>
      </c>
      <c r="J360">
        <f>IF($F360="","",IFERROR(VLOOKUP($F360,Oppsett!$E$4:$F$11,2,FALSE),"– ikke tildelt –"))</f>
        <v/>
      </c>
      <c r="L360">
        <f>IF($B360="","",IF($K360&lt;&gt;"",$K360,$J360))</f>
        <v/>
      </c>
      <c r="N360" s="8">
        <f>IF(OR($B360="",$G360=""),"",$B360+VLOOKUP($G360,Oppsett!$H$4:$J$7,2,FALSE)/24)</f>
        <v/>
      </c>
      <c r="O360" s="8">
        <f>IF(OR($B360="",$G360=""),"",$B360+VLOOKUP($G360,Oppsett!$H$4:$J$7,3,FALSE)/24)</f>
        <v/>
      </c>
      <c r="P360" s="8" t="n"/>
      <c r="Q360" s="8" t="n"/>
      <c r="R360">
        <f>IF($B360="","",IF($P360&lt;&gt;"",IF($P360&lt;=$N360,"OK","Påbegynt for sent"),IF(NOW()&gt;$N360,"FORFALT","Innen frist")))</f>
        <v/>
      </c>
      <c r="S360">
        <f>IF($B360="","",IF($Q360&lt;&gt;"",IF($Q360&lt;=$O360,"OK","Løst for sent"),IF(NOW()&gt;$O360,"FORFALT","Innen frist")))</f>
        <v/>
      </c>
      <c r="T360" s="10">
        <f>IF(OR($B360="",$Q360=""),"",ROUND(($Q360-$B360)*24,1))</f>
        <v/>
      </c>
    </row>
    <row r="361">
      <c r="A361">
        <f>IF($B361="","","SAK-"&amp;TEXT(ROW()-1,"0000"))</f>
        <v/>
      </c>
      <c r="B361" s="8">
        <f>IF($C361&amp;$H361="","",IF($B361="",NOW(),$B361))</f>
        <v/>
      </c>
      <c r="J361">
        <f>IF($F361="","",IFERROR(VLOOKUP($F361,Oppsett!$E$4:$F$11,2,FALSE),"– ikke tildelt –"))</f>
        <v/>
      </c>
      <c r="L361">
        <f>IF($B361="","",IF($K361&lt;&gt;"",$K361,$J361))</f>
        <v/>
      </c>
      <c r="N361" s="8">
        <f>IF(OR($B361="",$G361=""),"",$B361+VLOOKUP($G361,Oppsett!$H$4:$J$7,2,FALSE)/24)</f>
        <v/>
      </c>
      <c r="O361" s="8">
        <f>IF(OR($B361="",$G361=""),"",$B361+VLOOKUP($G361,Oppsett!$H$4:$J$7,3,FALSE)/24)</f>
        <v/>
      </c>
      <c r="P361" s="8" t="n"/>
      <c r="Q361" s="8" t="n"/>
      <c r="R361">
        <f>IF($B361="","",IF($P361&lt;&gt;"",IF($P361&lt;=$N361,"OK","Påbegynt for sent"),IF(NOW()&gt;$N361,"FORFALT","Innen frist")))</f>
        <v/>
      </c>
      <c r="S361">
        <f>IF($B361="","",IF($Q361&lt;&gt;"",IF($Q361&lt;=$O361,"OK","Løst for sent"),IF(NOW()&gt;$O361,"FORFALT","Innen frist")))</f>
        <v/>
      </c>
      <c r="T361" s="10">
        <f>IF(OR($B361="",$Q361=""),"",ROUND(($Q361-$B361)*24,1))</f>
        <v/>
      </c>
    </row>
    <row r="362">
      <c r="A362">
        <f>IF($B362="","","SAK-"&amp;TEXT(ROW()-1,"0000"))</f>
        <v/>
      </c>
      <c r="B362" s="8">
        <f>IF($C362&amp;$H362="","",IF($B362="",NOW(),$B362))</f>
        <v/>
      </c>
      <c r="J362">
        <f>IF($F362="","",IFERROR(VLOOKUP($F362,Oppsett!$E$4:$F$11,2,FALSE),"– ikke tildelt –"))</f>
        <v/>
      </c>
      <c r="L362">
        <f>IF($B362="","",IF($K362&lt;&gt;"",$K362,$J362))</f>
        <v/>
      </c>
      <c r="N362" s="8">
        <f>IF(OR($B362="",$G362=""),"",$B362+VLOOKUP($G362,Oppsett!$H$4:$J$7,2,FALSE)/24)</f>
        <v/>
      </c>
      <c r="O362" s="8">
        <f>IF(OR($B362="",$G362=""),"",$B362+VLOOKUP($G362,Oppsett!$H$4:$J$7,3,FALSE)/24)</f>
        <v/>
      </c>
      <c r="P362" s="8" t="n"/>
      <c r="Q362" s="8" t="n"/>
      <c r="R362">
        <f>IF($B362="","",IF($P362&lt;&gt;"",IF($P362&lt;=$N362,"OK","Påbegynt for sent"),IF(NOW()&gt;$N362,"FORFALT","Innen frist")))</f>
        <v/>
      </c>
      <c r="S362">
        <f>IF($B362="","",IF($Q362&lt;&gt;"",IF($Q362&lt;=$O362,"OK","Løst for sent"),IF(NOW()&gt;$O362,"FORFALT","Innen frist")))</f>
        <v/>
      </c>
      <c r="T362" s="10">
        <f>IF(OR($B362="",$Q362=""),"",ROUND(($Q362-$B362)*24,1))</f>
        <v/>
      </c>
    </row>
    <row r="363">
      <c r="A363">
        <f>IF($B363="","","SAK-"&amp;TEXT(ROW()-1,"0000"))</f>
        <v/>
      </c>
      <c r="B363" s="8">
        <f>IF($C363&amp;$H363="","",IF($B363="",NOW(),$B363))</f>
        <v/>
      </c>
      <c r="J363">
        <f>IF($F363="","",IFERROR(VLOOKUP($F363,Oppsett!$E$4:$F$11,2,FALSE),"– ikke tildelt –"))</f>
        <v/>
      </c>
      <c r="L363">
        <f>IF($B363="","",IF($K363&lt;&gt;"",$K363,$J363))</f>
        <v/>
      </c>
      <c r="N363" s="8">
        <f>IF(OR($B363="",$G363=""),"",$B363+VLOOKUP($G363,Oppsett!$H$4:$J$7,2,FALSE)/24)</f>
        <v/>
      </c>
      <c r="O363" s="8">
        <f>IF(OR($B363="",$G363=""),"",$B363+VLOOKUP($G363,Oppsett!$H$4:$J$7,3,FALSE)/24)</f>
        <v/>
      </c>
      <c r="P363" s="8" t="n"/>
      <c r="Q363" s="8" t="n"/>
      <c r="R363">
        <f>IF($B363="","",IF($P363&lt;&gt;"",IF($P363&lt;=$N363,"OK","Påbegynt for sent"),IF(NOW()&gt;$N363,"FORFALT","Innen frist")))</f>
        <v/>
      </c>
      <c r="S363">
        <f>IF($B363="","",IF($Q363&lt;&gt;"",IF($Q363&lt;=$O363,"OK","Løst for sent"),IF(NOW()&gt;$O363,"FORFALT","Innen frist")))</f>
        <v/>
      </c>
      <c r="T363" s="10">
        <f>IF(OR($B363="",$Q363=""),"",ROUND(($Q363-$B363)*24,1))</f>
        <v/>
      </c>
    </row>
    <row r="364">
      <c r="A364">
        <f>IF($B364="","","SAK-"&amp;TEXT(ROW()-1,"0000"))</f>
        <v/>
      </c>
      <c r="B364" s="8">
        <f>IF($C364&amp;$H364="","",IF($B364="",NOW(),$B364))</f>
        <v/>
      </c>
      <c r="J364">
        <f>IF($F364="","",IFERROR(VLOOKUP($F364,Oppsett!$E$4:$F$11,2,FALSE),"– ikke tildelt –"))</f>
        <v/>
      </c>
      <c r="L364">
        <f>IF($B364="","",IF($K364&lt;&gt;"",$K364,$J364))</f>
        <v/>
      </c>
      <c r="N364" s="8">
        <f>IF(OR($B364="",$G364=""),"",$B364+VLOOKUP($G364,Oppsett!$H$4:$J$7,2,FALSE)/24)</f>
        <v/>
      </c>
      <c r="O364" s="8">
        <f>IF(OR($B364="",$G364=""),"",$B364+VLOOKUP($G364,Oppsett!$H$4:$J$7,3,FALSE)/24)</f>
        <v/>
      </c>
      <c r="P364" s="8" t="n"/>
      <c r="Q364" s="8" t="n"/>
      <c r="R364">
        <f>IF($B364="","",IF($P364&lt;&gt;"",IF($P364&lt;=$N364,"OK","Påbegynt for sent"),IF(NOW()&gt;$N364,"FORFALT","Innen frist")))</f>
        <v/>
      </c>
      <c r="S364">
        <f>IF($B364="","",IF($Q364&lt;&gt;"",IF($Q364&lt;=$O364,"OK","Løst for sent"),IF(NOW()&gt;$O364,"FORFALT","Innen frist")))</f>
        <v/>
      </c>
      <c r="T364" s="10">
        <f>IF(OR($B364="",$Q364=""),"",ROUND(($Q364-$B364)*24,1))</f>
        <v/>
      </c>
    </row>
    <row r="365">
      <c r="A365">
        <f>IF($B365="","","SAK-"&amp;TEXT(ROW()-1,"0000"))</f>
        <v/>
      </c>
      <c r="B365" s="8">
        <f>IF($C365&amp;$H365="","",IF($B365="",NOW(),$B365))</f>
        <v/>
      </c>
      <c r="J365">
        <f>IF($F365="","",IFERROR(VLOOKUP($F365,Oppsett!$E$4:$F$11,2,FALSE),"– ikke tildelt –"))</f>
        <v/>
      </c>
      <c r="L365">
        <f>IF($B365="","",IF($K365&lt;&gt;"",$K365,$J365))</f>
        <v/>
      </c>
      <c r="N365" s="8">
        <f>IF(OR($B365="",$G365=""),"",$B365+VLOOKUP($G365,Oppsett!$H$4:$J$7,2,FALSE)/24)</f>
        <v/>
      </c>
      <c r="O365" s="8">
        <f>IF(OR($B365="",$G365=""),"",$B365+VLOOKUP($G365,Oppsett!$H$4:$J$7,3,FALSE)/24)</f>
        <v/>
      </c>
      <c r="P365" s="8" t="n"/>
      <c r="Q365" s="8" t="n"/>
      <c r="R365">
        <f>IF($B365="","",IF($P365&lt;&gt;"",IF($P365&lt;=$N365,"OK","Påbegynt for sent"),IF(NOW()&gt;$N365,"FORFALT","Innen frist")))</f>
        <v/>
      </c>
      <c r="S365">
        <f>IF($B365="","",IF($Q365&lt;&gt;"",IF($Q365&lt;=$O365,"OK","Løst for sent"),IF(NOW()&gt;$O365,"FORFALT","Innen frist")))</f>
        <v/>
      </c>
      <c r="T365" s="10">
        <f>IF(OR($B365="",$Q365=""),"",ROUND(($Q365-$B365)*24,1))</f>
        <v/>
      </c>
    </row>
    <row r="366">
      <c r="A366">
        <f>IF($B366="","","SAK-"&amp;TEXT(ROW()-1,"0000"))</f>
        <v/>
      </c>
      <c r="B366" s="8">
        <f>IF($C366&amp;$H366="","",IF($B366="",NOW(),$B366))</f>
        <v/>
      </c>
      <c r="J366">
        <f>IF($F366="","",IFERROR(VLOOKUP($F366,Oppsett!$E$4:$F$11,2,FALSE),"– ikke tildelt –"))</f>
        <v/>
      </c>
      <c r="L366">
        <f>IF($B366="","",IF($K366&lt;&gt;"",$K366,$J366))</f>
        <v/>
      </c>
      <c r="N366" s="8">
        <f>IF(OR($B366="",$G366=""),"",$B366+VLOOKUP($G366,Oppsett!$H$4:$J$7,2,FALSE)/24)</f>
        <v/>
      </c>
      <c r="O366" s="8">
        <f>IF(OR($B366="",$G366=""),"",$B366+VLOOKUP($G366,Oppsett!$H$4:$J$7,3,FALSE)/24)</f>
        <v/>
      </c>
      <c r="P366" s="8" t="n"/>
      <c r="Q366" s="8" t="n"/>
      <c r="R366">
        <f>IF($B366="","",IF($P366&lt;&gt;"",IF($P366&lt;=$N366,"OK","Påbegynt for sent"),IF(NOW()&gt;$N366,"FORFALT","Innen frist")))</f>
        <v/>
      </c>
      <c r="S366">
        <f>IF($B366="","",IF($Q366&lt;&gt;"",IF($Q366&lt;=$O366,"OK","Løst for sent"),IF(NOW()&gt;$O366,"FORFALT","Innen frist")))</f>
        <v/>
      </c>
      <c r="T366" s="10">
        <f>IF(OR($B366="",$Q366=""),"",ROUND(($Q366-$B366)*24,1))</f>
        <v/>
      </c>
    </row>
    <row r="367">
      <c r="A367">
        <f>IF($B367="","","SAK-"&amp;TEXT(ROW()-1,"0000"))</f>
        <v/>
      </c>
      <c r="B367" s="8">
        <f>IF($C367&amp;$H367="","",IF($B367="",NOW(),$B367))</f>
        <v/>
      </c>
      <c r="J367">
        <f>IF($F367="","",IFERROR(VLOOKUP($F367,Oppsett!$E$4:$F$11,2,FALSE),"– ikke tildelt –"))</f>
        <v/>
      </c>
      <c r="L367">
        <f>IF($B367="","",IF($K367&lt;&gt;"",$K367,$J367))</f>
        <v/>
      </c>
      <c r="N367" s="8">
        <f>IF(OR($B367="",$G367=""),"",$B367+VLOOKUP($G367,Oppsett!$H$4:$J$7,2,FALSE)/24)</f>
        <v/>
      </c>
      <c r="O367" s="8">
        <f>IF(OR($B367="",$G367=""),"",$B367+VLOOKUP($G367,Oppsett!$H$4:$J$7,3,FALSE)/24)</f>
        <v/>
      </c>
      <c r="P367" s="8" t="n"/>
      <c r="Q367" s="8" t="n"/>
      <c r="R367">
        <f>IF($B367="","",IF($P367&lt;&gt;"",IF($P367&lt;=$N367,"OK","Påbegynt for sent"),IF(NOW()&gt;$N367,"FORFALT","Innen frist")))</f>
        <v/>
      </c>
      <c r="S367">
        <f>IF($B367="","",IF($Q367&lt;&gt;"",IF($Q367&lt;=$O367,"OK","Løst for sent"),IF(NOW()&gt;$O367,"FORFALT","Innen frist")))</f>
        <v/>
      </c>
      <c r="T367" s="10">
        <f>IF(OR($B367="",$Q367=""),"",ROUND(($Q367-$B367)*24,1))</f>
        <v/>
      </c>
    </row>
    <row r="368">
      <c r="A368">
        <f>IF($B368="","","SAK-"&amp;TEXT(ROW()-1,"0000"))</f>
        <v/>
      </c>
      <c r="B368" s="8">
        <f>IF($C368&amp;$H368="","",IF($B368="",NOW(),$B368))</f>
        <v/>
      </c>
      <c r="J368">
        <f>IF($F368="","",IFERROR(VLOOKUP($F368,Oppsett!$E$4:$F$11,2,FALSE),"– ikke tildelt –"))</f>
        <v/>
      </c>
      <c r="L368">
        <f>IF($B368="","",IF($K368&lt;&gt;"",$K368,$J368))</f>
        <v/>
      </c>
      <c r="N368" s="8">
        <f>IF(OR($B368="",$G368=""),"",$B368+VLOOKUP($G368,Oppsett!$H$4:$J$7,2,FALSE)/24)</f>
        <v/>
      </c>
      <c r="O368" s="8">
        <f>IF(OR($B368="",$G368=""),"",$B368+VLOOKUP($G368,Oppsett!$H$4:$J$7,3,FALSE)/24)</f>
        <v/>
      </c>
      <c r="P368" s="8" t="n"/>
      <c r="Q368" s="8" t="n"/>
      <c r="R368">
        <f>IF($B368="","",IF($P368&lt;&gt;"",IF($P368&lt;=$N368,"OK","Påbegynt for sent"),IF(NOW()&gt;$N368,"FORFALT","Innen frist")))</f>
        <v/>
      </c>
      <c r="S368">
        <f>IF($B368="","",IF($Q368&lt;&gt;"",IF($Q368&lt;=$O368,"OK","Løst for sent"),IF(NOW()&gt;$O368,"FORFALT","Innen frist")))</f>
        <v/>
      </c>
      <c r="T368" s="10">
        <f>IF(OR($B368="",$Q368=""),"",ROUND(($Q368-$B368)*24,1))</f>
        <v/>
      </c>
    </row>
    <row r="369">
      <c r="A369">
        <f>IF($B369="","","SAK-"&amp;TEXT(ROW()-1,"0000"))</f>
        <v/>
      </c>
      <c r="B369" s="8">
        <f>IF($C369&amp;$H369="","",IF($B369="",NOW(),$B369))</f>
        <v/>
      </c>
      <c r="J369">
        <f>IF($F369="","",IFERROR(VLOOKUP($F369,Oppsett!$E$4:$F$11,2,FALSE),"– ikke tildelt –"))</f>
        <v/>
      </c>
      <c r="L369">
        <f>IF($B369="","",IF($K369&lt;&gt;"",$K369,$J369))</f>
        <v/>
      </c>
      <c r="N369" s="8">
        <f>IF(OR($B369="",$G369=""),"",$B369+VLOOKUP($G369,Oppsett!$H$4:$J$7,2,FALSE)/24)</f>
        <v/>
      </c>
      <c r="O369" s="8">
        <f>IF(OR($B369="",$G369=""),"",$B369+VLOOKUP($G369,Oppsett!$H$4:$J$7,3,FALSE)/24)</f>
        <v/>
      </c>
      <c r="P369" s="8" t="n"/>
      <c r="Q369" s="8" t="n"/>
      <c r="R369">
        <f>IF($B369="","",IF($P369&lt;&gt;"",IF($P369&lt;=$N369,"OK","Påbegynt for sent"),IF(NOW()&gt;$N369,"FORFALT","Innen frist")))</f>
        <v/>
      </c>
      <c r="S369">
        <f>IF($B369="","",IF($Q369&lt;&gt;"",IF($Q369&lt;=$O369,"OK","Løst for sent"),IF(NOW()&gt;$O369,"FORFALT","Innen frist")))</f>
        <v/>
      </c>
      <c r="T369" s="10">
        <f>IF(OR($B369="",$Q369=""),"",ROUND(($Q369-$B369)*24,1))</f>
        <v/>
      </c>
    </row>
    <row r="370">
      <c r="A370">
        <f>IF($B370="","","SAK-"&amp;TEXT(ROW()-1,"0000"))</f>
        <v/>
      </c>
      <c r="B370" s="8">
        <f>IF($C370&amp;$H370="","",IF($B370="",NOW(),$B370))</f>
        <v/>
      </c>
      <c r="J370">
        <f>IF($F370="","",IFERROR(VLOOKUP($F370,Oppsett!$E$4:$F$11,2,FALSE),"– ikke tildelt –"))</f>
        <v/>
      </c>
      <c r="L370">
        <f>IF($B370="","",IF($K370&lt;&gt;"",$K370,$J370))</f>
        <v/>
      </c>
      <c r="N370" s="8">
        <f>IF(OR($B370="",$G370=""),"",$B370+VLOOKUP($G370,Oppsett!$H$4:$J$7,2,FALSE)/24)</f>
        <v/>
      </c>
      <c r="O370" s="8">
        <f>IF(OR($B370="",$G370=""),"",$B370+VLOOKUP($G370,Oppsett!$H$4:$J$7,3,FALSE)/24)</f>
        <v/>
      </c>
      <c r="P370" s="8" t="n"/>
      <c r="Q370" s="8" t="n"/>
      <c r="R370">
        <f>IF($B370="","",IF($P370&lt;&gt;"",IF($P370&lt;=$N370,"OK","Påbegynt for sent"),IF(NOW()&gt;$N370,"FORFALT","Innen frist")))</f>
        <v/>
      </c>
      <c r="S370">
        <f>IF($B370="","",IF($Q370&lt;&gt;"",IF($Q370&lt;=$O370,"OK","Løst for sent"),IF(NOW()&gt;$O370,"FORFALT","Innen frist")))</f>
        <v/>
      </c>
      <c r="T370" s="10">
        <f>IF(OR($B370="",$Q370=""),"",ROUND(($Q370-$B370)*24,1))</f>
        <v/>
      </c>
    </row>
    <row r="371">
      <c r="A371">
        <f>IF($B371="","","SAK-"&amp;TEXT(ROW()-1,"0000"))</f>
        <v/>
      </c>
      <c r="B371" s="8">
        <f>IF($C371&amp;$H371="","",IF($B371="",NOW(),$B371))</f>
        <v/>
      </c>
      <c r="J371">
        <f>IF($F371="","",IFERROR(VLOOKUP($F371,Oppsett!$E$4:$F$11,2,FALSE),"– ikke tildelt –"))</f>
        <v/>
      </c>
      <c r="L371">
        <f>IF($B371="","",IF($K371&lt;&gt;"",$K371,$J371))</f>
        <v/>
      </c>
      <c r="N371" s="8">
        <f>IF(OR($B371="",$G371=""),"",$B371+VLOOKUP($G371,Oppsett!$H$4:$J$7,2,FALSE)/24)</f>
        <v/>
      </c>
      <c r="O371" s="8">
        <f>IF(OR($B371="",$G371=""),"",$B371+VLOOKUP($G371,Oppsett!$H$4:$J$7,3,FALSE)/24)</f>
        <v/>
      </c>
      <c r="P371" s="8" t="n"/>
      <c r="Q371" s="8" t="n"/>
      <c r="R371">
        <f>IF($B371="","",IF($P371&lt;&gt;"",IF($P371&lt;=$N371,"OK","Påbegynt for sent"),IF(NOW()&gt;$N371,"FORFALT","Innen frist")))</f>
        <v/>
      </c>
      <c r="S371">
        <f>IF($B371="","",IF($Q371&lt;&gt;"",IF($Q371&lt;=$O371,"OK","Løst for sent"),IF(NOW()&gt;$O371,"FORFALT","Innen frist")))</f>
        <v/>
      </c>
      <c r="T371" s="10">
        <f>IF(OR($B371="",$Q371=""),"",ROUND(($Q371-$B371)*24,1))</f>
        <v/>
      </c>
    </row>
    <row r="372">
      <c r="A372">
        <f>IF($B372="","","SAK-"&amp;TEXT(ROW()-1,"0000"))</f>
        <v/>
      </c>
      <c r="B372" s="8">
        <f>IF($C372&amp;$H372="","",IF($B372="",NOW(),$B372))</f>
        <v/>
      </c>
      <c r="J372">
        <f>IF($F372="","",IFERROR(VLOOKUP($F372,Oppsett!$E$4:$F$11,2,FALSE),"– ikke tildelt –"))</f>
        <v/>
      </c>
      <c r="L372">
        <f>IF($B372="","",IF($K372&lt;&gt;"",$K372,$J372))</f>
        <v/>
      </c>
      <c r="N372" s="8">
        <f>IF(OR($B372="",$G372=""),"",$B372+VLOOKUP($G372,Oppsett!$H$4:$J$7,2,FALSE)/24)</f>
        <v/>
      </c>
      <c r="O372" s="8">
        <f>IF(OR($B372="",$G372=""),"",$B372+VLOOKUP($G372,Oppsett!$H$4:$J$7,3,FALSE)/24)</f>
        <v/>
      </c>
      <c r="P372" s="8" t="n"/>
      <c r="Q372" s="8" t="n"/>
      <c r="R372">
        <f>IF($B372="","",IF($P372&lt;&gt;"",IF($P372&lt;=$N372,"OK","Påbegynt for sent"),IF(NOW()&gt;$N372,"FORFALT","Innen frist")))</f>
        <v/>
      </c>
      <c r="S372">
        <f>IF($B372="","",IF($Q372&lt;&gt;"",IF($Q372&lt;=$O372,"OK","Løst for sent"),IF(NOW()&gt;$O372,"FORFALT","Innen frist")))</f>
        <v/>
      </c>
      <c r="T372" s="10">
        <f>IF(OR($B372="",$Q372=""),"",ROUND(($Q372-$B372)*24,1))</f>
        <v/>
      </c>
    </row>
    <row r="373">
      <c r="A373">
        <f>IF($B373="","","SAK-"&amp;TEXT(ROW()-1,"0000"))</f>
        <v/>
      </c>
      <c r="B373" s="8">
        <f>IF($C373&amp;$H373="","",IF($B373="",NOW(),$B373))</f>
        <v/>
      </c>
      <c r="J373">
        <f>IF($F373="","",IFERROR(VLOOKUP($F373,Oppsett!$E$4:$F$11,2,FALSE),"– ikke tildelt –"))</f>
        <v/>
      </c>
      <c r="L373">
        <f>IF($B373="","",IF($K373&lt;&gt;"",$K373,$J373))</f>
        <v/>
      </c>
      <c r="N373" s="8">
        <f>IF(OR($B373="",$G373=""),"",$B373+VLOOKUP($G373,Oppsett!$H$4:$J$7,2,FALSE)/24)</f>
        <v/>
      </c>
      <c r="O373" s="8">
        <f>IF(OR($B373="",$G373=""),"",$B373+VLOOKUP($G373,Oppsett!$H$4:$J$7,3,FALSE)/24)</f>
        <v/>
      </c>
      <c r="P373" s="8" t="n"/>
      <c r="Q373" s="8" t="n"/>
      <c r="R373">
        <f>IF($B373="","",IF($P373&lt;&gt;"",IF($P373&lt;=$N373,"OK","Påbegynt for sent"),IF(NOW()&gt;$N373,"FORFALT","Innen frist")))</f>
        <v/>
      </c>
      <c r="S373">
        <f>IF($B373="","",IF($Q373&lt;&gt;"",IF($Q373&lt;=$O373,"OK","Løst for sent"),IF(NOW()&gt;$O373,"FORFALT","Innen frist")))</f>
        <v/>
      </c>
      <c r="T373" s="10">
        <f>IF(OR($B373="",$Q373=""),"",ROUND(($Q373-$B373)*24,1))</f>
        <v/>
      </c>
    </row>
    <row r="374">
      <c r="A374">
        <f>IF($B374="","","SAK-"&amp;TEXT(ROW()-1,"0000"))</f>
        <v/>
      </c>
      <c r="B374" s="8">
        <f>IF($C374&amp;$H374="","",IF($B374="",NOW(),$B374))</f>
        <v/>
      </c>
      <c r="J374">
        <f>IF($F374="","",IFERROR(VLOOKUP($F374,Oppsett!$E$4:$F$11,2,FALSE),"– ikke tildelt –"))</f>
        <v/>
      </c>
      <c r="L374">
        <f>IF($B374="","",IF($K374&lt;&gt;"",$K374,$J374))</f>
        <v/>
      </c>
      <c r="N374" s="8">
        <f>IF(OR($B374="",$G374=""),"",$B374+VLOOKUP($G374,Oppsett!$H$4:$J$7,2,FALSE)/24)</f>
        <v/>
      </c>
      <c r="O374" s="8">
        <f>IF(OR($B374="",$G374=""),"",$B374+VLOOKUP($G374,Oppsett!$H$4:$J$7,3,FALSE)/24)</f>
        <v/>
      </c>
      <c r="P374" s="8" t="n"/>
      <c r="Q374" s="8" t="n"/>
      <c r="R374">
        <f>IF($B374="","",IF($P374&lt;&gt;"",IF($P374&lt;=$N374,"OK","Påbegynt for sent"),IF(NOW()&gt;$N374,"FORFALT","Innen frist")))</f>
        <v/>
      </c>
      <c r="S374">
        <f>IF($B374="","",IF($Q374&lt;&gt;"",IF($Q374&lt;=$O374,"OK","Løst for sent"),IF(NOW()&gt;$O374,"FORFALT","Innen frist")))</f>
        <v/>
      </c>
      <c r="T374" s="10">
        <f>IF(OR($B374="",$Q374=""),"",ROUND(($Q374-$B374)*24,1))</f>
        <v/>
      </c>
    </row>
    <row r="375">
      <c r="A375">
        <f>IF($B375="","","SAK-"&amp;TEXT(ROW()-1,"0000"))</f>
        <v/>
      </c>
      <c r="B375" s="8">
        <f>IF($C375&amp;$H375="","",IF($B375="",NOW(),$B375))</f>
        <v/>
      </c>
      <c r="J375">
        <f>IF($F375="","",IFERROR(VLOOKUP($F375,Oppsett!$E$4:$F$11,2,FALSE),"– ikke tildelt –"))</f>
        <v/>
      </c>
      <c r="L375">
        <f>IF($B375="","",IF($K375&lt;&gt;"",$K375,$J375))</f>
        <v/>
      </c>
      <c r="N375" s="8">
        <f>IF(OR($B375="",$G375=""),"",$B375+VLOOKUP($G375,Oppsett!$H$4:$J$7,2,FALSE)/24)</f>
        <v/>
      </c>
      <c r="O375" s="8">
        <f>IF(OR($B375="",$G375=""),"",$B375+VLOOKUP($G375,Oppsett!$H$4:$J$7,3,FALSE)/24)</f>
        <v/>
      </c>
      <c r="P375" s="8" t="n"/>
      <c r="Q375" s="8" t="n"/>
      <c r="R375">
        <f>IF($B375="","",IF($P375&lt;&gt;"",IF($P375&lt;=$N375,"OK","Påbegynt for sent"),IF(NOW()&gt;$N375,"FORFALT","Innen frist")))</f>
        <v/>
      </c>
      <c r="S375">
        <f>IF($B375="","",IF($Q375&lt;&gt;"",IF($Q375&lt;=$O375,"OK","Løst for sent"),IF(NOW()&gt;$O375,"FORFALT","Innen frist")))</f>
        <v/>
      </c>
      <c r="T375" s="10">
        <f>IF(OR($B375="",$Q375=""),"",ROUND(($Q375-$B375)*24,1))</f>
        <v/>
      </c>
    </row>
    <row r="376">
      <c r="A376">
        <f>IF($B376="","","SAK-"&amp;TEXT(ROW()-1,"0000"))</f>
        <v/>
      </c>
      <c r="B376" s="8">
        <f>IF($C376&amp;$H376="","",IF($B376="",NOW(),$B376))</f>
        <v/>
      </c>
      <c r="J376">
        <f>IF($F376="","",IFERROR(VLOOKUP($F376,Oppsett!$E$4:$F$11,2,FALSE),"– ikke tildelt –"))</f>
        <v/>
      </c>
      <c r="L376">
        <f>IF($B376="","",IF($K376&lt;&gt;"",$K376,$J376))</f>
        <v/>
      </c>
      <c r="N376" s="8">
        <f>IF(OR($B376="",$G376=""),"",$B376+VLOOKUP($G376,Oppsett!$H$4:$J$7,2,FALSE)/24)</f>
        <v/>
      </c>
      <c r="O376" s="8">
        <f>IF(OR($B376="",$G376=""),"",$B376+VLOOKUP($G376,Oppsett!$H$4:$J$7,3,FALSE)/24)</f>
        <v/>
      </c>
      <c r="P376" s="8" t="n"/>
      <c r="Q376" s="8" t="n"/>
      <c r="R376">
        <f>IF($B376="","",IF($P376&lt;&gt;"",IF($P376&lt;=$N376,"OK","Påbegynt for sent"),IF(NOW()&gt;$N376,"FORFALT","Innen frist")))</f>
        <v/>
      </c>
      <c r="S376">
        <f>IF($B376="","",IF($Q376&lt;&gt;"",IF($Q376&lt;=$O376,"OK","Løst for sent"),IF(NOW()&gt;$O376,"FORFALT","Innen frist")))</f>
        <v/>
      </c>
      <c r="T376" s="10">
        <f>IF(OR($B376="",$Q376=""),"",ROUND(($Q376-$B376)*24,1))</f>
        <v/>
      </c>
    </row>
    <row r="377">
      <c r="A377">
        <f>IF($B377="","","SAK-"&amp;TEXT(ROW()-1,"0000"))</f>
        <v/>
      </c>
      <c r="B377" s="8">
        <f>IF($C377&amp;$H377="","",IF($B377="",NOW(),$B377))</f>
        <v/>
      </c>
      <c r="J377">
        <f>IF($F377="","",IFERROR(VLOOKUP($F377,Oppsett!$E$4:$F$11,2,FALSE),"– ikke tildelt –"))</f>
        <v/>
      </c>
      <c r="L377">
        <f>IF($B377="","",IF($K377&lt;&gt;"",$K377,$J377))</f>
        <v/>
      </c>
      <c r="N377" s="8">
        <f>IF(OR($B377="",$G377=""),"",$B377+VLOOKUP($G377,Oppsett!$H$4:$J$7,2,FALSE)/24)</f>
        <v/>
      </c>
      <c r="O377" s="8">
        <f>IF(OR($B377="",$G377=""),"",$B377+VLOOKUP($G377,Oppsett!$H$4:$J$7,3,FALSE)/24)</f>
        <v/>
      </c>
      <c r="P377" s="8" t="n"/>
      <c r="Q377" s="8" t="n"/>
      <c r="R377">
        <f>IF($B377="","",IF($P377&lt;&gt;"",IF($P377&lt;=$N377,"OK","Påbegynt for sent"),IF(NOW()&gt;$N377,"FORFALT","Innen frist")))</f>
        <v/>
      </c>
      <c r="S377">
        <f>IF($B377="","",IF($Q377&lt;&gt;"",IF($Q377&lt;=$O377,"OK","Løst for sent"),IF(NOW()&gt;$O377,"FORFALT","Innen frist")))</f>
        <v/>
      </c>
      <c r="T377" s="10">
        <f>IF(OR($B377="",$Q377=""),"",ROUND(($Q377-$B377)*24,1))</f>
        <v/>
      </c>
    </row>
    <row r="378">
      <c r="A378">
        <f>IF($B378="","","SAK-"&amp;TEXT(ROW()-1,"0000"))</f>
        <v/>
      </c>
      <c r="B378" s="8">
        <f>IF($C378&amp;$H378="","",IF($B378="",NOW(),$B378))</f>
        <v/>
      </c>
      <c r="J378">
        <f>IF($F378="","",IFERROR(VLOOKUP($F378,Oppsett!$E$4:$F$11,2,FALSE),"– ikke tildelt –"))</f>
        <v/>
      </c>
      <c r="L378">
        <f>IF($B378="","",IF($K378&lt;&gt;"",$K378,$J378))</f>
        <v/>
      </c>
      <c r="N378" s="8">
        <f>IF(OR($B378="",$G378=""),"",$B378+VLOOKUP($G378,Oppsett!$H$4:$J$7,2,FALSE)/24)</f>
        <v/>
      </c>
      <c r="O378" s="8">
        <f>IF(OR($B378="",$G378=""),"",$B378+VLOOKUP($G378,Oppsett!$H$4:$J$7,3,FALSE)/24)</f>
        <v/>
      </c>
      <c r="P378" s="8" t="n"/>
      <c r="Q378" s="8" t="n"/>
      <c r="R378">
        <f>IF($B378="","",IF($P378&lt;&gt;"",IF($P378&lt;=$N378,"OK","Påbegynt for sent"),IF(NOW()&gt;$N378,"FORFALT","Innen frist")))</f>
        <v/>
      </c>
      <c r="S378">
        <f>IF($B378="","",IF($Q378&lt;&gt;"",IF($Q378&lt;=$O378,"OK","Løst for sent"),IF(NOW()&gt;$O378,"FORFALT","Innen frist")))</f>
        <v/>
      </c>
      <c r="T378" s="10">
        <f>IF(OR($B378="",$Q378=""),"",ROUND(($Q378-$B378)*24,1))</f>
        <v/>
      </c>
    </row>
    <row r="379">
      <c r="A379">
        <f>IF($B379="","","SAK-"&amp;TEXT(ROW()-1,"0000"))</f>
        <v/>
      </c>
      <c r="B379" s="8">
        <f>IF($C379&amp;$H379="","",IF($B379="",NOW(),$B379))</f>
        <v/>
      </c>
      <c r="J379">
        <f>IF($F379="","",IFERROR(VLOOKUP($F379,Oppsett!$E$4:$F$11,2,FALSE),"– ikke tildelt –"))</f>
        <v/>
      </c>
      <c r="L379">
        <f>IF($B379="","",IF($K379&lt;&gt;"",$K379,$J379))</f>
        <v/>
      </c>
      <c r="N379" s="8">
        <f>IF(OR($B379="",$G379=""),"",$B379+VLOOKUP($G379,Oppsett!$H$4:$J$7,2,FALSE)/24)</f>
        <v/>
      </c>
      <c r="O379" s="8">
        <f>IF(OR($B379="",$G379=""),"",$B379+VLOOKUP($G379,Oppsett!$H$4:$J$7,3,FALSE)/24)</f>
        <v/>
      </c>
      <c r="P379" s="8" t="n"/>
      <c r="Q379" s="8" t="n"/>
      <c r="R379">
        <f>IF($B379="","",IF($P379&lt;&gt;"",IF($P379&lt;=$N379,"OK","Påbegynt for sent"),IF(NOW()&gt;$N379,"FORFALT","Innen frist")))</f>
        <v/>
      </c>
      <c r="S379">
        <f>IF($B379="","",IF($Q379&lt;&gt;"",IF($Q379&lt;=$O379,"OK","Løst for sent"),IF(NOW()&gt;$O379,"FORFALT","Innen frist")))</f>
        <v/>
      </c>
      <c r="T379" s="10">
        <f>IF(OR($B379="",$Q379=""),"",ROUND(($Q379-$B379)*24,1))</f>
        <v/>
      </c>
    </row>
    <row r="380">
      <c r="A380">
        <f>IF($B380="","","SAK-"&amp;TEXT(ROW()-1,"0000"))</f>
        <v/>
      </c>
      <c r="B380" s="8">
        <f>IF($C380&amp;$H380="","",IF($B380="",NOW(),$B380))</f>
        <v/>
      </c>
      <c r="J380">
        <f>IF($F380="","",IFERROR(VLOOKUP($F380,Oppsett!$E$4:$F$11,2,FALSE),"– ikke tildelt –"))</f>
        <v/>
      </c>
      <c r="L380">
        <f>IF($B380="","",IF($K380&lt;&gt;"",$K380,$J380))</f>
        <v/>
      </c>
      <c r="N380" s="8">
        <f>IF(OR($B380="",$G380=""),"",$B380+VLOOKUP($G380,Oppsett!$H$4:$J$7,2,FALSE)/24)</f>
        <v/>
      </c>
      <c r="O380" s="8">
        <f>IF(OR($B380="",$G380=""),"",$B380+VLOOKUP($G380,Oppsett!$H$4:$J$7,3,FALSE)/24)</f>
        <v/>
      </c>
      <c r="P380" s="8" t="n"/>
      <c r="Q380" s="8" t="n"/>
      <c r="R380">
        <f>IF($B380="","",IF($P380&lt;&gt;"",IF($P380&lt;=$N380,"OK","Påbegynt for sent"),IF(NOW()&gt;$N380,"FORFALT","Innen frist")))</f>
        <v/>
      </c>
      <c r="S380">
        <f>IF($B380="","",IF($Q380&lt;&gt;"",IF($Q380&lt;=$O380,"OK","Løst for sent"),IF(NOW()&gt;$O380,"FORFALT","Innen frist")))</f>
        <v/>
      </c>
      <c r="T380" s="10">
        <f>IF(OR($B380="",$Q380=""),"",ROUND(($Q380-$B380)*24,1))</f>
        <v/>
      </c>
    </row>
    <row r="381">
      <c r="A381">
        <f>IF($B381="","","SAK-"&amp;TEXT(ROW()-1,"0000"))</f>
        <v/>
      </c>
      <c r="B381" s="8">
        <f>IF($C381&amp;$H381="","",IF($B381="",NOW(),$B381))</f>
        <v/>
      </c>
      <c r="J381">
        <f>IF($F381="","",IFERROR(VLOOKUP($F381,Oppsett!$E$4:$F$11,2,FALSE),"– ikke tildelt –"))</f>
        <v/>
      </c>
      <c r="L381">
        <f>IF($B381="","",IF($K381&lt;&gt;"",$K381,$J381))</f>
        <v/>
      </c>
      <c r="N381" s="8">
        <f>IF(OR($B381="",$G381=""),"",$B381+VLOOKUP($G381,Oppsett!$H$4:$J$7,2,FALSE)/24)</f>
        <v/>
      </c>
      <c r="O381" s="8">
        <f>IF(OR($B381="",$G381=""),"",$B381+VLOOKUP($G381,Oppsett!$H$4:$J$7,3,FALSE)/24)</f>
        <v/>
      </c>
      <c r="P381" s="8" t="n"/>
      <c r="Q381" s="8" t="n"/>
      <c r="R381">
        <f>IF($B381="","",IF($P381&lt;&gt;"",IF($P381&lt;=$N381,"OK","Påbegynt for sent"),IF(NOW()&gt;$N381,"FORFALT","Innen frist")))</f>
        <v/>
      </c>
      <c r="S381">
        <f>IF($B381="","",IF($Q381&lt;&gt;"",IF($Q381&lt;=$O381,"OK","Løst for sent"),IF(NOW()&gt;$O381,"FORFALT","Innen frist")))</f>
        <v/>
      </c>
      <c r="T381" s="10">
        <f>IF(OR($B381="",$Q381=""),"",ROUND(($Q381-$B381)*24,1))</f>
        <v/>
      </c>
    </row>
    <row r="382">
      <c r="A382">
        <f>IF($B382="","","SAK-"&amp;TEXT(ROW()-1,"0000"))</f>
        <v/>
      </c>
      <c r="B382" s="8">
        <f>IF($C382&amp;$H382="","",IF($B382="",NOW(),$B382))</f>
        <v/>
      </c>
      <c r="J382">
        <f>IF($F382="","",IFERROR(VLOOKUP($F382,Oppsett!$E$4:$F$11,2,FALSE),"– ikke tildelt –"))</f>
        <v/>
      </c>
      <c r="L382">
        <f>IF($B382="","",IF($K382&lt;&gt;"",$K382,$J382))</f>
        <v/>
      </c>
      <c r="N382" s="8">
        <f>IF(OR($B382="",$G382=""),"",$B382+VLOOKUP($G382,Oppsett!$H$4:$J$7,2,FALSE)/24)</f>
        <v/>
      </c>
      <c r="O382" s="8">
        <f>IF(OR($B382="",$G382=""),"",$B382+VLOOKUP($G382,Oppsett!$H$4:$J$7,3,FALSE)/24)</f>
        <v/>
      </c>
      <c r="P382" s="8" t="n"/>
      <c r="Q382" s="8" t="n"/>
      <c r="R382">
        <f>IF($B382="","",IF($P382&lt;&gt;"",IF($P382&lt;=$N382,"OK","Påbegynt for sent"),IF(NOW()&gt;$N382,"FORFALT","Innen frist")))</f>
        <v/>
      </c>
      <c r="S382">
        <f>IF($B382="","",IF($Q382&lt;&gt;"",IF($Q382&lt;=$O382,"OK","Løst for sent"),IF(NOW()&gt;$O382,"FORFALT","Innen frist")))</f>
        <v/>
      </c>
      <c r="T382" s="10">
        <f>IF(OR($B382="",$Q382=""),"",ROUND(($Q382-$B382)*24,1))</f>
        <v/>
      </c>
    </row>
    <row r="383">
      <c r="A383">
        <f>IF($B383="","","SAK-"&amp;TEXT(ROW()-1,"0000"))</f>
        <v/>
      </c>
      <c r="B383" s="8">
        <f>IF($C383&amp;$H383="","",IF($B383="",NOW(),$B383))</f>
        <v/>
      </c>
      <c r="J383">
        <f>IF($F383="","",IFERROR(VLOOKUP($F383,Oppsett!$E$4:$F$11,2,FALSE),"– ikke tildelt –"))</f>
        <v/>
      </c>
      <c r="L383">
        <f>IF($B383="","",IF($K383&lt;&gt;"",$K383,$J383))</f>
        <v/>
      </c>
      <c r="N383" s="8">
        <f>IF(OR($B383="",$G383=""),"",$B383+VLOOKUP($G383,Oppsett!$H$4:$J$7,2,FALSE)/24)</f>
        <v/>
      </c>
      <c r="O383" s="8">
        <f>IF(OR($B383="",$G383=""),"",$B383+VLOOKUP($G383,Oppsett!$H$4:$J$7,3,FALSE)/24)</f>
        <v/>
      </c>
      <c r="P383" s="8" t="n"/>
      <c r="Q383" s="8" t="n"/>
      <c r="R383">
        <f>IF($B383="","",IF($P383&lt;&gt;"",IF($P383&lt;=$N383,"OK","Påbegynt for sent"),IF(NOW()&gt;$N383,"FORFALT","Innen frist")))</f>
        <v/>
      </c>
      <c r="S383">
        <f>IF($B383="","",IF($Q383&lt;&gt;"",IF($Q383&lt;=$O383,"OK","Løst for sent"),IF(NOW()&gt;$O383,"FORFALT","Innen frist")))</f>
        <v/>
      </c>
      <c r="T383" s="10">
        <f>IF(OR($B383="",$Q383=""),"",ROUND(($Q383-$B383)*24,1))</f>
        <v/>
      </c>
    </row>
    <row r="384">
      <c r="A384">
        <f>IF($B384="","","SAK-"&amp;TEXT(ROW()-1,"0000"))</f>
        <v/>
      </c>
      <c r="B384" s="8">
        <f>IF($C384&amp;$H384="","",IF($B384="",NOW(),$B384))</f>
        <v/>
      </c>
      <c r="J384">
        <f>IF($F384="","",IFERROR(VLOOKUP($F384,Oppsett!$E$4:$F$11,2,FALSE),"– ikke tildelt –"))</f>
        <v/>
      </c>
      <c r="L384">
        <f>IF($B384="","",IF($K384&lt;&gt;"",$K384,$J384))</f>
        <v/>
      </c>
      <c r="N384" s="8">
        <f>IF(OR($B384="",$G384=""),"",$B384+VLOOKUP($G384,Oppsett!$H$4:$J$7,2,FALSE)/24)</f>
        <v/>
      </c>
      <c r="O384" s="8">
        <f>IF(OR($B384="",$G384=""),"",$B384+VLOOKUP($G384,Oppsett!$H$4:$J$7,3,FALSE)/24)</f>
        <v/>
      </c>
      <c r="P384" s="8" t="n"/>
      <c r="Q384" s="8" t="n"/>
      <c r="R384">
        <f>IF($B384="","",IF($P384&lt;&gt;"",IF($P384&lt;=$N384,"OK","Påbegynt for sent"),IF(NOW()&gt;$N384,"FORFALT","Innen frist")))</f>
        <v/>
      </c>
      <c r="S384">
        <f>IF($B384="","",IF($Q384&lt;&gt;"",IF($Q384&lt;=$O384,"OK","Løst for sent"),IF(NOW()&gt;$O384,"FORFALT","Innen frist")))</f>
        <v/>
      </c>
      <c r="T384" s="10">
        <f>IF(OR($B384="",$Q384=""),"",ROUND(($Q384-$B384)*24,1))</f>
        <v/>
      </c>
    </row>
    <row r="385">
      <c r="A385">
        <f>IF($B385="","","SAK-"&amp;TEXT(ROW()-1,"0000"))</f>
        <v/>
      </c>
      <c r="B385" s="8">
        <f>IF($C385&amp;$H385="","",IF($B385="",NOW(),$B385))</f>
        <v/>
      </c>
      <c r="J385">
        <f>IF($F385="","",IFERROR(VLOOKUP($F385,Oppsett!$E$4:$F$11,2,FALSE),"– ikke tildelt –"))</f>
        <v/>
      </c>
      <c r="L385">
        <f>IF($B385="","",IF($K385&lt;&gt;"",$K385,$J385))</f>
        <v/>
      </c>
      <c r="N385" s="8">
        <f>IF(OR($B385="",$G385=""),"",$B385+VLOOKUP($G385,Oppsett!$H$4:$J$7,2,FALSE)/24)</f>
        <v/>
      </c>
      <c r="O385" s="8">
        <f>IF(OR($B385="",$G385=""),"",$B385+VLOOKUP($G385,Oppsett!$H$4:$J$7,3,FALSE)/24)</f>
        <v/>
      </c>
      <c r="P385" s="8" t="n"/>
      <c r="Q385" s="8" t="n"/>
      <c r="R385">
        <f>IF($B385="","",IF($P385&lt;&gt;"",IF($P385&lt;=$N385,"OK","Påbegynt for sent"),IF(NOW()&gt;$N385,"FORFALT","Innen frist")))</f>
        <v/>
      </c>
      <c r="S385">
        <f>IF($B385="","",IF($Q385&lt;&gt;"",IF($Q385&lt;=$O385,"OK","Løst for sent"),IF(NOW()&gt;$O385,"FORFALT","Innen frist")))</f>
        <v/>
      </c>
      <c r="T385" s="10">
        <f>IF(OR($B385="",$Q385=""),"",ROUND(($Q385-$B385)*24,1))</f>
        <v/>
      </c>
    </row>
    <row r="386">
      <c r="A386">
        <f>IF($B386="","","SAK-"&amp;TEXT(ROW()-1,"0000"))</f>
        <v/>
      </c>
      <c r="B386" s="8">
        <f>IF($C386&amp;$H386="","",IF($B386="",NOW(),$B386))</f>
        <v/>
      </c>
      <c r="J386">
        <f>IF($F386="","",IFERROR(VLOOKUP($F386,Oppsett!$E$4:$F$11,2,FALSE),"– ikke tildelt –"))</f>
        <v/>
      </c>
      <c r="L386">
        <f>IF($B386="","",IF($K386&lt;&gt;"",$K386,$J386))</f>
        <v/>
      </c>
      <c r="N386" s="8">
        <f>IF(OR($B386="",$G386=""),"",$B386+VLOOKUP($G386,Oppsett!$H$4:$J$7,2,FALSE)/24)</f>
        <v/>
      </c>
      <c r="O386" s="8">
        <f>IF(OR($B386="",$G386=""),"",$B386+VLOOKUP($G386,Oppsett!$H$4:$J$7,3,FALSE)/24)</f>
        <v/>
      </c>
      <c r="P386" s="8" t="n"/>
      <c r="Q386" s="8" t="n"/>
      <c r="R386">
        <f>IF($B386="","",IF($P386&lt;&gt;"",IF($P386&lt;=$N386,"OK","Påbegynt for sent"),IF(NOW()&gt;$N386,"FORFALT","Innen frist")))</f>
        <v/>
      </c>
      <c r="S386">
        <f>IF($B386="","",IF($Q386&lt;&gt;"",IF($Q386&lt;=$O386,"OK","Løst for sent"),IF(NOW()&gt;$O386,"FORFALT","Innen frist")))</f>
        <v/>
      </c>
      <c r="T386" s="10">
        <f>IF(OR($B386="",$Q386=""),"",ROUND(($Q386-$B386)*24,1))</f>
        <v/>
      </c>
    </row>
    <row r="387">
      <c r="A387">
        <f>IF($B387="","","SAK-"&amp;TEXT(ROW()-1,"0000"))</f>
        <v/>
      </c>
      <c r="B387" s="8">
        <f>IF($C387&amp;$H387="","",IF($B387="",NOW(),$B387))</f>
        <v/>
      </c>
      <c r="J387">
        <f>IF($F387="","",IFERROR(VLOOKUP($F387,Oppsett!$E$4:$F$11,2,FALSE),"– ikke tildelt –"))</f>
        <v/>
      </c>
      <c r="L387">
        <f>IF($B387="","",IF($K387&lt;&gt;"",$K387,$J387))</f>
        <v/>
      </c>
      <c r="N387" s="8">
        <f>IF(OR($B387="",$G387=""),"",$B387+VLOOKUP($G387,Oppsett!$H$4:$J$7,2,FALSE)/24)</f>
        <v/>
      </c>
      <c r="O387" s="8">
        <f>IF(OR($B387="",$G387=""),"",$B387+VLOOKUP($G387,Oppsett!$H$4:$J$7,3,FALSE)/24)</f>
        <v/>
      </c>
      <c r="P387" s="8" t="n"/>
      <c r="Q387" s="8" t="n"/>
      <c r="R387">
        <f>IF($B387="","",IF($P387&lt;&gt;"",IF($P387&lt;=$N387,"OK","Påbegynt for sent"),IF(NOW()&gt;$N387,"FORFALT","Innen frist")))</f>
        <v/>
      </c>
      <c r="S387">
        <f>IF($B387="","",IF($Q387&lt;&gt;"",IF($Q387&lt;=$O387,"OK","Løst for sent"),IF(NOW()&gt;$O387,"FORFALT","Innen frist")))</f>
        <v/>
      </c>
      <c r="T387" s="10">
        <f>IF(OR($B387="",$Q387=""),"",ROUND(($Q387-$B387)*24,1))</f>
        <v/>
      </c>
    </row>
    <row r="388">
      <c r="A388">
        <f>IF($B388="","","SAK-"&amp;TEXT(ROW()-1,"0000"))</f>
        <v/>
      </c>
      <c r="B388" s="8">
        <f>IF($C388&amp;$H388="","",IF($B388="",NOW(),$B388))</f>
        <v/>
      </c>
      <c r="J388">
        <f>IF($F388="","",IFERROR(VLOOKUP($F388,Oppsett!$E$4:$F$11,2,FALSE),"– ikke tildelt –"))</f>
        <v/>
      </c>
      <c r="L388">
        <f>IF($B388="","",IF($K388&lt;&gt;"",$K388,$J388))</f>
        <v/>
      </c>
      <c r="N388" s="8">
        <f>IF(OR($B388="",$G388=""),"",$B388+VLOOKUP($G388,Oppsett!$H$4:$J$7,2,FALSE)/24)</f>
        <v/>
      </c>
      <c r="O388" s="8">
        <f>IF(OR($B388="",$G388=""),"",$B388+VLOOKUP($G388,Oppsett!$H$4:$J$7,3,FALSE)/24)</f>
        <v/>
      </c>
      <c r="P388" s="8" t="n"/>
      <c r="Q388" s="8" t="n"/>
      <c r="R388">
        <f>IF($B388="","",IF($P388&lt;&gt;"",IF($P388&lt;=$N388,"OK","Påbegynt for sent"),IF(NOW()&gt;$N388,"FORFALT","Innen frist")))</f>
        <v/>
      </c>
      <c r="S388">
        <f>IF($B388="","",IF($Q388&lt;&gt;"",IF($Q388&lt;=$O388,"OK","Løst for sent"),IF(NOW()&gt;$O388,"FORFALT","Innen frist")))</f>
        <v/>
      </c>
      <c r="T388" s="10">
        <f>IF(OR($B388="",$Q388=""),"",ROUND(($Q388-$B388)*24,1))</f>
        <v/>
      </c>
    </row>
    <row r="389">
      <c r="A389">
        <f>IF($B389="","","SAK-"&amp;TEXT(ROW()-1,"0000"))</f>
        <v/>
      </c>
      <c r="B389" s="8">
        <f>IF($C389&amp;$H389="","",IF($B389="",NOW(),$B389))</f>
        <v/>
      </c>
      <c r="J389">
        <f>IF($F389="","",IFERROR(VLOOKUP($F389,Oppsett!$E$4:$F$11,2,FALSE),"– ikke tildelt –"))</f>
        <v/>
      </c>
      <c r="L389">
        <f>IF($B389="","",IF($K389&lt;&gt;"",$K389,$J389))</f>
        <v/>
      </c>
      <c r="N389" s="8">
        <f>IF(OR($B389="",$G389=""),"",$B389+VLOOKUP($G389,Oppsett!$H$4:$J$7,2,FALSE)/24)</f>
        <v/>
      </c>
      <c r="O389" s="8">
        <f>IF(OR($B389="",$G389=""),"",$B389+VLOOKUP($G389,Oppsett!$H$4:$J$7,3,FALSE)/24)</f>
        <v/>
      </c>
      <c r="P389" s="8" t="n"/>
      <c r="Q389" s="8" t="n"/>
      <c r="R389">
        <f>IF($B389="","",IF($P389&lt;&gt;"",IF($P389&lt;=$N389,"OK","Påbegynt for sent"),IF(NOW()&gt;$N389,"FORFALT","Innen frist")))</f>
        <v/>
      </c>
      <c r="S389">
        <f>IF($B389="","",IF($Q389&lt;&gt;"",IF($Q389&lt;=$O389,"OK","Løst for sent"),IF(NOW()&gt;$O389,"FORFALT","Innen frist")))</f>
        <v/>
      </c>
      <c r="T389" s="10">
        <f>IF(OR($B389="",$Q389=""),"",ROUND(($Q389-$B389)*24,1))</f>
        <v/>
      </c>
    </row>
    <row r="390">
      <c r="A390">
        <f>IF($B390="","","SAK-"&amp;TEXT(ROW()-1,"0000"))</f>
        <v/>
      </c>
      <c r="B390" s="8">
        <f>IF($C390&amp;$H390="","",IF($B390="",NOW(),$B390))</f>
        <v/>
      </c>
      <c r="J390">
        <f>IF($F390="","",IFERROR(VLOOKUP($F390,Oppsett!$E$4:$F$11,2,FALSE),"– ikke tildelt –"))</f>
        <v/>
      </c>
      <c r="L390">
        <f>IF($B390="","",IF($K390&lt;&gt;"",$K390,$J390))</f>
        <v/>
      </c>
      <c r="N390" s="8">
        <f>IF(OR($B390="",$G390=""),"",$B390+VLOOKUP($G390,Oppsett!$H$4:$J$7,2,FALSE)/24)</f>
        <v/>
      </c>
      <c r="O390" s="8">
        <f>IF(OR($B390="",$G390=""),"",$B390+VLOOKUP($G390,Oppsett!$H$4:$J$7,3,FALSE)/24)</f>
        <v/>
      </c>
      <c r="P390" s="8" t="n"/>
      <c r="Q390" s="8" t="n"/>
      <c r="R390">
        <f>IF($B390="","",IF($P390&lt;&gt;"",IF($P390&lt;=$N390,"OK","Påbegynt for sent"),IF(NOW()&gt;$N390,"FORFALT","Innen frist")))</f>
        <v/>
      </c>
      <c r="S390">
        <f>IF($B390="","",IF($Q390&lt;&gt;"",IF($Q390&lt;=$O390,"OK","Løst for sent"),IF(NOW()&gt;$O390,"FORFALT","Innen frist")))</f>
        <v/>
      </c>
      <c r="T390" s="10">
        <f>IF(OR($B390="",$Q390=""),"",ROUND(($Q390-$B390)*24,1))</f>
        <v/>
      </c>
    </row>
    <row r="391">
      <c r="A391">
        <f>IF($B391="","","SAK-"&amp;TEXT(ROW()-1,"0000"))</f>
        <v/>
      </c>
      <c r="B391" s="8">
        <f>IF($C391&amp;$H391="","",IF($B391="",NOW(),$B391))</f>
        <v/>
      </c>
      <c r="J391">
        <f>IF($F391="","",IFERROR(VLOOKUP($F391,Oppsett!$E$4:$F$11,2,FALSE),"– ikke tildelt –"))</f>
        <v/>
      </c>
      <c r="L391">
        <f>IF($B391="","",IF($K391&lt;&gt;"",$K391,$J391))</f>
        <v/>
      </c>
      <c r="N391" s="8">
        <f>IF(OR($B391="",$G391=""),"",$B391+VLOOKUP($G391,Oppsett!$H$4:$J$7,2,FALSE)/24)</f>
        <v/>
      </c>
      <c r="O391" s="8">
        <f>IF(OR($B391="",$G391=""),"",$B391+VLOOKUP($G391,Oppsett!$H$4:$J$7,3,FALSE)/24)</f>
        <v/>
      </c>
      <c r="P391" s="8" t="n"/>
      <c r="Q391" s="8" t="n"/>
      <c r="R391">
        <f>IF($B391="","",IF($P391&lt;&gt;"",IF($P391&lt;=$N391,"OK","Påbegynt for sent"),IF(NOW()&gt;$N391,"FORFALT","Innen frist")))</f>
        <v/>
      </c>
      <c r="S391">
        <f>IF($B391="","",IF($Q391&lt;&gt;"",IF($Q391&lt;=$O391,"OK","Løst for sent"),IF(NOW()&gt;$O391,"FORFALT","Innen frist")))</f>
        <v/>
      </c>
      <c r="T391" s="10">
        <f>IF(OR($B391="",$Q391=""),"",ROUND(($Q391-$B391)*24,1))</f>
        <v/>
      </c>
    </row>
    <row r="392">
      <c r="A392">
        <f>IF($B392="","","SAK-"&amp;TEXT(ROW()-1,"0000"))</f>
        <v/>
      </c>
      <c r="B392" s="8">
        <f>IF($C392&amp;$H392="","",IF($B392="",NOW(),$B392))</f>
        <v/>
      </c>
      <c r="J392">
        <f>IF($F392="","",IFERROR(VLOOKUP($F392,Oppsett!$E$4:$F$11,2,FALSE),"– ikke tildelt –"))</f>
        <v/>
      </c>
      <c r="L392">
        <f>IF($B392="","",IF($K392&lt;&gt;"",$K392,$J392))</f>
        <v/>
      </c>
      <c r="N392" s="8">
        <f>IF(OR($B392="",$G392=""),"",$B392+VLOOKUP($G392,Oppsett!$H$4:$J$7,2,FALSE)/24)</f>
        <v/>
      </c>
      <c r="O392" s="8">
        <f>IF(OR($B392="",$G392=""),"",$B392+VLOOKUP($G392,Oppsett!$H$4:$J$7,3,FALSE)/24)</f>
        <v/>
      </c>
      <c r="P392" s="8" t="n"/>
      <c r="Q392" s="8" t="n"/>
      <c r="R392">
        <f>IF($B392="","",IF($P392&lt;&gt;"",IF($P392&lt;=$N392,"OK","Påbegynt for sent"),IF(NOW()&gt;$N392,"FORFALT","Innen frist")))</f>
        <v/>
      </c>
      <c r="S392">
        <f>IF($B392="","",IF($Q392&lt;&gt;"",IF($Q392&lt;=$O392,"OK","Løst for sent"),IF(NOW()&gt;$O392,"FORFALT","Innen frist")))</f>
        <v/>
      </c>
      <c r="T392" s="10">
        <f>IF(OR($B392="",$Q392=""),"",ROUND(($Q392-$B392)*24,1))</f>
        <v/>
      </c>
    </row>
    <row r="393">
      <c r="A393">
        <f>IF($B393="","","SAK-"&amp;TEXT(ROW()-1,"0000"))</f>
        <v/>
      </c>
      <c r="B393" s="8">
        <f>IF($C393&amp;$H393="","",IF($B393="",NOW(),$B393))</f>
        <v/>
      </c>
      <c r="J393">
        <f>IF($F393="","",IFERROR(VLOOKUP($F393,Oppsett!$E$4:$F$11,2,FALSE),"– ikke tildelt –"))</f>
        <v/>
      </c>
      <c r="L393">
        <f>IF($B393="","",IF($K393&lt;&gt;"",$K393,$J393))</f>
        <v/>
      </c>
      <c r="N393" s="8">
        <f>IF(OR($B393="",$G393=""),"",$B393+VLOOKUP($G393,Oppsett!$H$4:$J$7,2,FALSE)/24)</f>
        <v/>
      </c>
      <c r="O393" s="8">
        <f>IF(OR($B393="",$G393=""),"",$B393+VLOOKUP($G393,Oppsett!$H$4:$J$7,3,FALSE)/24)</f>
        <v/>
      </c>
      <c r="P393" s="8" t="n"/>
      <c r="Q393" s="8" t="n"/>
      <c r="R393">
        <f>IF($B393="","",IF($P393&lt;&gt;"",IF($P393&lt;=$N393,"OK","Påbegynt for sent"),IF(NOW()&gt;$N393,"FORFALT","Innen frist")))</f>
        <v/>
      </c>
      <c r="S393">
        <f>IF($B393="","",IF($Q393&lt;&gt;"",IF($Q393&lt;=$O393,"OK","Løst for sent"),IF(NOW()&gt;$O393,"FORFALT","Innen frist")))</f>
        <v/>
      </c>
      <c r="T393" s="10">
        <f>IF(OR($B393="",$Q393=""),"",ROUND(($Q393-$B393)*24,1))</f>
        <v/>
      </c>
    </row>
    <row r="394">
      <c r="A394">
        <f>IF($B394="","","SAK-"&amp;TEXT(ROW()-1,"0000"))</f>
        <v/>
      </c>
      <c r="B394" s="8">
        <f>IF($C394&amp;$H394="","",IF($B394="",NOW(),$B394))</f>
        <v/>
      </c>
      <c r="J394">
        <f>IF($F394="","",IFERROR(VLOOKUP($F394,Oppsett!$E$4:$F$11,2,FALSE),"– ikke tildelt –"))</f>
        <v/>
      </c>
      <c r="L394">
        <f>IF($B394="","",IF($K394&lt;&gt;"",$K394,$J394))</f>
        <v/>
      </c>
      <c r="N394" s="8">
        <f>IF(OR($B394="",$G394=""),"",$B394+VLOOKUP($G394,Oppsett!$H$4:$J$7,2,FALSE)/24)</f>
        <v/>
      </c>
      <c r="O394" s="8">
        <f>IF(OR($B394="",$G394=""),"",$B394+VLOOKUP($G394,Oppsett!$H$4:$J$7,3,FALSE)/24)</f>
        <v/>
      </c>
      <c r="P394" s="8" t="n"/>
      <c r="Q394" s="8" t="n"/>
      <c r="R394">
        <f>IF($B394="","",IF($P394&lt;&gt;"",IF($P394&lt;=$N394,"OK","Påbegynt for sent"),IF(NOW()&gt;$N394,"FORFALT","Innen frist")))</f>
        <v/>
      </c>
      <c r="S394">
        <f>IF($B394="","",IF($Q394&lt;&gt;"",IF($Q394&lt;=$O394,"OK","Løst for sent"),IF(NOW()&gt;$O394,"FORFALT","Innen frist")))</f>
        <v/>
      </c>
      <c r="T394" s="10">
        <f>IF(OR($B394="",$Q394=""),"",ROUND(($Q394-$B394)*24,1))</f>
        <v/>
      </c>
    </row>
    <row r="395">
      <c r="A395">
        <f>IF($B395="","","SAK-"&amp;TEXT(ROW()-1,"0000"))</f>
        <v/>
      </c>
      <c r="B395" s="8">
        <f>IF($C395&amp;$H395="","",IF($B395="",NOW(),$B395))</f>
        <v/>
      </c>
      <c r="J395">
        <f>IF($F395="","",IFERROR(VLOOKUP($F395,Oppsett!$E$4:$F$11,2,FALSE),"– ikke tildelt –"))</f>
        <v/>
      </c>
      <c r="L395">
        <f>IF($B395="","",IF($K395&lt;&gt;"",$K395,$J395))</f>
        <v/>
      </c>
      <c r="N395" s="8">
        <f>IF(OR($B395="",$G395=""),"",$B395+VLOOKUP($G395,Oppsett!$H$4:$J$7,2,FALSE)/24)</f>
        <v/>
      </c>
      <c r="O395" s="8">
        <f>IF(OR($B395="",$G395=""),"",$B395+VLOOKUP($G395,Oppsett!$H$4:$J$7,3,FALSE)/24)</f>
        <v/>
      </c>
      <c r="P395" s="8" t="n"/>
      <c r="Q395" s="8" t="n"/>
      <c r="R395">
        <f>IF($B395="","",IF($P395&lt;&gt;"",IF($P395&lt;=$N395,"OK","Påbegynt for sent"),IF(NOW()&gt;$N395,"FORFALT","Innen frist")))</f>
        <v/>
      </c>
      <c r="S395">
        <f>IF($B395="","",IF($Q395&lt;&gt;"",IF($Q395&lt;=$O395,"OK","Løst for sent"),IF(NOW()&gt;$O395,"FORFALT","Innen frist")))</f>
        <v/>
      </c>
      <c r="T395" s="10">
        <f>IF(OR($B395="",$Q395=""),"",ROUND(($Q395-$B395)*24,1))</f>
        <v/>
      </c>
    </row>
    <row r="396">
      <c r="A396">
        <f>IF($B396="","","SAK-"&amp;TEXT(ROW()-1,"0000"))</f>
        <v/>
      </c>
      <c r="B396" s="8">
        <f>IF($C396&amp;$H396="","",IF($B396="",NOW(),$B396))</f>
        <v/>
      </c>
      <c r="J396">
        <f>IF($F396="","",IFERROR(VLOOKUP($F396,Oppsett!$E$4:$F$11,2,FALSE),"– ikke tildelt –"))</f>
        <v/>
      </c>
      <c r="L396">
        <f>IF($B396="","",IF($K396&lt;&gt;"",$K396,$J396))</f>
        <v/>
      </c>
      <c r="N396" s="8">
        <f>IF(OR($B396="",$G396=""),"",$B396+VLOOKUP($G396,Oppsett!$H$4:$J$7,2,FALSE)/24)</f>
        <v/>
      </c>
      <c r="O396" s="8">
        <f>IF(OR($B396="",$G396=""),"",$B396+VLOOKUP($G396,Oppsett!$H$4:$J$7,3,FALSE)/24)</f>
        <v/>
      </c>
      <c r="P396" s="8" t="n"/>
      <c r="Q396" s="8" t="n"/>
      <c r="R396">
        <f>IF($B396="","",IF($P396&lt;&gt;"",IF($P396&lt;=$N396,"OK","Påbegynt for sent"),IF(NOW()&gt;$N396,"FORFALT","Innen frist")))</f>
        <v/>
      </c>
      <c r="S396">
        <f>IF($B396="","",IF($Q396&lt;&gt;"",IF($Q396&lt;=$O396,"OK","Løst for sent"),IF(NOW()&gt;$O396,"FORFALT","Innen frist")))</f>
        <v/>
      </c>
      <c r="T396" s="10">
        <f>IF(OR($B396="",$Q396=""),"",ROUND(($Q396-$B396)*24,1))</f>
        <v/>
      </c>
    </row>
    <row r="397">
      <c r="A397">
        <f>IF($B397="","","SAK-"&amp;TEXT(ROW()-1,"0000"))</f>
        <v/>
      </c>
      <c r="B397" s="8">
        <f>IF($C397&amp;$H397="","",IF($B397="",NOW(),$B397))</f>
        <v/>
      </c>
      <c r="J397">
        <f>IF($F397="","",IFERROR(VLOOKUP($F397,Oppsett!$E$4:$F$11,2,FALSE),"– ikke tildelt –"))</f>
        <v/>
      </c>
      <c r="L397">
        <f>IF($B397="","",IF($K397&lt;&gt;"",$K397,$J397))</f>
        <v/>
      </c>
      <c r="N397" s="8">
        <f>IF(OR($B397="",$G397=""),"",$B397+VLOOKUP($G397,Oppsett!$H$4:$J$7,2,FALSE)/24)</f>
        <v/>
      </c>
      <c r="O397" s="8">
        <f>IF(OR($B397="",$G397=""),"",$B397+VLOOKUP($G397,Oppsett!$H$4:$J$7,3,FALSE)/24)</f>
        <v/>
      </c>
      <c r="P397" s="8" t="n"/>
      <c r="Q397" s="8" t="n"/>
      <c r="R397">
        <f>IF($B397="","",IF($P397&lt;&gt;"",IF($P397&lt;=$N397,"OK","Påbegynt for sent"),IF(NOW()&gt;$N397,"FORFALT","Innen frist")))</f>
        <v/>
      </c>
      <c r="S397">
        <f>IF($B397="","",IF($Q397&lt;&gt;"",IF($Q397&lt;=$O397,"OK","Løst for sent"),IF(NOW()&gt;$O397,"FORFALT","Innen frist")))</f>
        <v/>
      </c>
      <c r="T397" s="10">
        <f>IF(OR($B397="",$Q397=""),"",ROUND(($Q397-$B397)*24,1))</f>
        <v/>
      </c>
    </row>
    <row r="398">
      <c r="A398">
        <f>IF($B398="","","SAK-"&amp;TEXT(ROW()-1,"0000"))</f>
        <v/>
      </c>
      <c r="B398" s="8">
        <f>IF($C398&amp;$H398="","",IF($B398="",NOW(),$B398))</f>
        <v/>
      </c>
      <c r="J398">
        <f>IF($F398="","",IFERROR(VLOOKUP($F398,Oppsett!$E$4:$F$11,2,FALSE),"– ikke tildelt –"))</f>
        <v/>
      </c>
      <c r="L398">
        <f>IF($B398="","",IF($K398&lt;&gt;"",$K398,$J398))</f>
        <v/>
      </c>
      <c r="N398" s="8">
        <f>IF(OR($B398="",$G398=""),"",$B398+VLOOKUP($G398,Oppsett!$H$4:$J$7,2,FALSE)/24)</f>
        <v/>
      </c>
      <c r="O398" s="8">
        <f>IF(OR($B398="",$G398=""),"",$B398+VLOOKUP($G398,Oppsett!$H$4:$J$7,3,FALSE)/24)</f>
        <v/>
      </c>
      <c r="P398" s="8" t="n"/>
      <c r="Q398" s="8" t="n"/>
      <c r="R398">
        <f>IF($B398="","",IF($P398&lt;&gt;"",IF($P398&lt;=$N398,"OK","Påbegynt for sent"),IF(NOW()&gt;$N398,"FORFALT","Innen frist")))</f>
        <v/>
      </c>
      <c r="S398">
        <f>IF($B398="","",IF($Q398&lt;&gt;"",IF($Q398&lt;=$O398,"OK","Løst for sent"),IF(NOW()&gt;$O398,"FORFALT","Innen frist")))</f>
        <v/>
      </c>
      <c r="T398" s="10">
        <f>IF(OR($B398="",$Q398=""),"",ROUND(($Q398-$B398)*24,1))</f>
        <v/>
      </c>
    </row>
    <row r="399">
      <c r="A399">
        <f>IF($B399="","","SAK-"&amp;TEXT(ROW()-1,"0000"))</f>
        <v/>
      </c>
      <c r="B399" s="8">
        <f>IF($C399&amp;$H399="","",IF($B399="",NOW(),$B399))</f>
        <v/>
      </c>
      <c r="J399">
        <f>IF($F399="","",IFERROR(VLOOKUP($F399,Oppsett!$E$4:$F$11,2,FALSE),"– ikke tildelt –"))</f>
        <v/>
      </c>
      <c r="L399">
        <f>IF($B399="","",IF($K399&lt;&gt;"",$K399,$J399))</f>
        <v/>
      </c>
      <c r="N399" s="8">
        <f>IF(OR($B399="",$G399=""),"",$B399+VLOOKUP($G399,Oppsett!$H$4:$J$7,2,FALSE)/24)</f>
        <v/>
      </c>
      <c r="O399" s="8">
        <f>IF(OR($B399="",$G399=""),"",$B399+VLOOKUP($G399,Oppsett!$H$4:$J$7,3,FALSE)/24)</f>
        <v/>
      </c>
      <c r="P399" s="8" t="n"/>
      <c r="Q399" s="8" t="n"/>
      <c r="R399">
        <f>IF($B399="","",IF($P399&lt;&gt;"",IF($P399&lt;=$N399,"OK","Påbegynt for sent"),IF(NOW()&gt;$N399,"FORFALT","Innen frist")))</f>
        <v/>
      </c>
      <c r="S399">
        <f>IF($B399="","",IF($Q399&lt;&gt;"",IF($Q399&lt;=$O399,"OK","Løst for sent"),IF(NOW()&gt;$O399,"FORFALT","Innen frist")))</f>
        <v/>
      </c>
      <c r="T399" s="10">
        <f>IF(OR($B399="",$Q399=""),"",ROUND(($Q399-$B399)*24,1))</f>
        <v/>
      </c>
    </row>
    <row r="400">
      <c r="A400">
        <f>IF($B400="","","SAK-"&amp;TEXT(ROW()-1,"0000"))</f>
        <v/>
      </c>
      <c r="B400" s="8">
        <f>IF($C400&amp;$H400="","",IF($B400="",NOW(),$B400))</f>
        <v/>
      </c>
      <c r="J400">
        <f>IF($F400="","",IFERROR(VLOOKUP($F400,Oppsett!$E$4:$F$11,2,FALSE),"– ikke tildelt –"))</f>
        <v/>
      </c>
      <c r="L400">
        <f>IF($B400="","",IF($K400&lt;&gt;"",$K400,$J400))</f>
        <v/>
      </c>
      <c r="N400" s="8">
        <f>IF(OR($B400="",$G400=""),"",$B400+VLOOKUP($G400,Oppsett!$H$4:$J$7,2,FALSE)/24)</f>
        <v/>
      </c>
      <c r="O400" s="8">
        <f>IF(OR($B400="",$G400=""),"",$B400+VLOOKUP($G400,Oppsett!$H$4:$J$7,3,FALSE)/24)</f>
        <v/>
      </c>
      <c r="P400" s="8" t="n"/>
      <c r="Q400" s="8" t="n"/>
      <c r="R400">
        <f>IF($B400="","",IF($P400&lt;&gt;"",IF($P400&lt;=$N400,"OK","Påbegynt for sent"),IF(NOW()&gt;$N400,"FORFALT","Innen frist")))</f>
        <v/>
      </c>
      <c r="S400">
        <f>IF($B400="","",IF($Q400&lt;&gt;"",IF($Q400&lt;=$O400,"OK","Løst for sent"),IF(NOW()&gt;$O400,"FORFALT","Innen frist")))</f>
        <v/>
      </c>
      <c r="T400" s="10">
        <f>IF(OR($B400="",$Q400=""),"",ROUND(($Q400-$B400)*24,1))</f>
        <v/>
      </c>
    </row>
    <row r="401">
      <c r="A401">
        <f>IF($B401="","","SAK-"&amp;TEXT(ROW()-1,"0000"))</f>
        <v/>
      </c>
      <c r="B401" s="8">
        <f>IF($C401&amp;$H401="","",IF($B401="",NOW(),$B401))</f>
        <v/>
      </c>
      <c r="J401">
        <f>IF($F401="","",IFERROR(VLOOKUP($F401,Oppsett!$E$4:$F$11,2,FALSE),"– ikke tildelt –"))</f>
        <v/>
      </c>
      <c r="L401">
        <f>IF($B401="","",IF($K401&lt;&gt;"",$K401,$J401))</f>
        <v/>
      </c>
      <c r="N401" s="8">
        <f>IF(OR($B401="",$G401=""),"",$B401+VLOOKUP($G401,Oppsett!$H$4:$J$7,2,FALSE)/24)</f>
        <v/>
      </c>
      <c r="O401" s="8">
        <f>IF(OR($B401="",$G401=""),"",$B401+VLOOKUP($G401,Oppsett!$H$4:$J$7,3,FALSE)/24)</f>
        <v/>
      </c>
      <c r="P401" s="8" t="n"/>
      <c r="Q401" s="8" t="n"/>
      <c r="R401">
        <f>IF($B401="","",IF($P401&lt;&gt;"",IF($P401&lt;=$N401,"OK","Påbegynt for sent"),IF(NOW()&gt;$N401,"FORFALT","Innen frist")))</f>
        <v/>
      </c>
      <c r="S401">
        <f>IF($B401="","",IF($Q401&lt;&gt;"",IF($Q401&lt;=$O401,"OK","Løst for sent"),IF(NOW()&gt;$O401,"FORFALT","Innen frist")))</f>
        <v/>
      </c>
      <c r="T401" s="10">
        <f>IF(OR($B401="",$Q401=""),"",ROUND(($Q401-$B401)*24,1))</f>
        <v/>
      </c>
    </row>
    <row r="402">
      <c r="A402">
        <f>IF($B402="","","SAK-"&amp;TEXT(ROW()-1,"0000"))</f>
        <v/>
      </c>
      <c r="B402" s="8">
        <f>IF($C402&amp;$H402="","",IF($B402="",NOW(),$B402))</f>
        <v/>
      </c>
      <c r="J402">
        <f>IF($F402="","",IFERROR(VLOOKUP($F402,Oppsett!$E$4:$F$11,2,FALSE),"– ikke tildelt –"))</f>
        <v/>
      </c>
      <c r="L402">
        <f>IF($B402="","",IF($K402&lt;&gt;"",$K402,$J402))</f>
        <v/>
      </c>
      <c r="N402" s="8">
        <f>IF(OR($B402="",$G402=""),"",$B402+VLOOKUP($G402,Oppsett!$H$4:$J$7,2,FALSE)/24)</f>
        <v/>
      </c>
      <c r="O402" s="8">
        <f>IF(OR($B402="",$G402=""),"",$B402+VLOOKUP($G402,Oppsett!$H$4:$J$7,3,FALSE)/24)</f>
        <v/>
      </c>
      <c r="P402" s="8" t="n"/>
      <c r="Q402" s="8" t="n"/>
      <c r="R402">
        <f>IF($B402="","",IF($P402&lt;&gt;"",IF($P402&lt;=$N402,"OK","Påbegynt for sent"),IF(NOW()&gt;$N402,"FORFALT","Innen frist")))</f>
        <v/>
      </c>
      <c r="S402">
        <f>IF($B402="","",IF($Q402&lt;&gt;"",IF($Q402&lt;=$O402,"OK","Løst for sent"),IF(NOW()&gt;$O402,"FORFALT","Innen frist")))</f>
        <v/>
      </c>
      <c r="T402" s="10">
        <f>IF(OR($B402="",$Q402=""),"",ROUND(($Q402-$B402)*24,1))</f>
        <v/>
      </c>
    </row>
    <row r="403">
      <c r="A403">
        <f>IF($B403="","","SAK-"&amp;TEXT(ROW()-1,"0000"))</f>
        <v/>
      </c>
      <c r="B403" s="8">
        <f>IF($C403&amp;$H403="","",IF($B403="",NOW(),$B403))</f>
        <v/>
      </c>
      <c r="J403">
        <f>IF($F403="","",IFERROR(VLOOKUP($F403,Oppsett!$E$4:$F$11,2,FALSE),"– ikke tildelt –"))</f>
        <v/>
      </c>
      <c r="L403">
        <f>IF($B403="","",IF($K403&lt;&gt;"",$K403,$J403))</f>
        <v/>
      </c>
      <c r="N403" s="8">
        <f>IF(OR($B403="",$G403=""),"",$B403+VLOOKUP($G403,Oppsett!$H$4:$J$7,2,FALSE)/24)</f>
        <v/>
      </c>
      <c r="O403" s="8">
        <f>IF(OR($B403="",$G403=""),"",$B403+VLOOKUP($G403,Oppsett!$H$4:$J$7,3,FALSE)/24)</f>
        <v/>
      </c>
      <c r="P403" s="8" t="n"/>
      <c r="Q403" s="8" t="n"/>
      <c r="R403">
        <f>IF($B403="","",IF($P403&lt;&gt;"",IF($P403&lt;=$N403,"OK","Påbegynt for sent"),IF(NOW()&gt;$N403,"FORFALT","Innen frist")))</f>
        <v/>
      </c>
      <c r="S403">
        <f>IF($B403="","",IF($Q403&lt;&gt;"",IF($Q403&lt;=$O403,"OK","Løst for sent"),IF(NOW()&gt;$O403,"FORFALT","Innen frist")))</f>
        <v/>
      </c>
      <c r="T403" s="10">
        <f>IF(OR($B403="",$Q403=""),"",ROUND(($Q403-$B403)*24,1))</f>
        <v/>
      </c>
    </row>
    <row r="404">
      <c r="A404">
        <f>IF($B404="","","SAK-"&amp;TEXT(ROW()-1,"0000"))</f>
        <v/>
      </c>
      <c r="B404" s="8">
        <f>IF($C404&amp;$H404="","",IF($B404="",NOW(),$B404))</f>
        <v/>
      </c>
      <c r="J404">
        <f>IF($F404="","",IFERROR(VLOOKUP($F404,Oppsett!$E$4:$F$11,2,FALSE),"– ikke tildelt –"))</f>
        <v/>
      </c>
      <c r="L404">
        <f>IF($B404="","",IF($K404&lt;&gt;"",$K404,$J404))</f>
        <v/>
      </c>
      <c r="N404" s="8">
        <f>IF(OR($B404="",$G404=""),"",$B404+VLOOKUP($G404,Oppsett!$H$4:$J$7,2,FALSE)/24)</f>
        <v/>
      </c>
      <c r="O404" s="8">
        <f>IF(OR($B404="",$G404=""),"",$B404+VLOOKUP($G404,Oppsett!$H$4:$J$7,3,FALSE)/24)</f>
        <v/>
      </c>
      <c r="P404" s="8" t="n"/>
      <c r="Q404" s="8" t="n"/>
      <c r="R404">
        <f>IF($B404="","",IF($P404&lt;&gt;"",IF($P404&lt;=$N404,"OK","Påbegynt for sent"),IF(NOW()&gt;$N404,"FORFALT","Innen frist")))</f>
        <v/>
      </c>
      <c r="S404">
        <f>IF($B404="","",IF($Q404&lt;&gt;"",IF($Q404&lt;=$O404,"OK","Løst for sent"),IF(NOW()&gt;$O404,"FORFALT","Innen frist")))</f>
        <v/>
      </c>
      <c r="T404" s="10">
        <f>IF(OR($B404="",$Q404=""),"",ROUND(($Q404-$B404)*24,1))</f>
        <v/>
      </c>
    </row>
    <row r="405">
      <c r="A405">
        <f>IF($B405="","","SAK-"&amp;TEXT(ROW()-1,"0000"))</f>
        <v/>
      </c>
      <c r="B405" s="8">
        <f>IF($C405&amp;$H405="","",IF($B405="",NOW(),$B405))</f>
        <v/>
      </c>
      <c r="J405">
        <f>IF($F405="","",IFERROR(VLOOKUP($F405,Oppsett!$E$4:$F$11,2,FALSE),"– ikke tildelt –"))</f>
        <v/>
      </c>
      <c r="L405">
        <f>IF($B405="","",IF($K405&lt;&gt;"",$K405,$J405))</f>
        <v/>
      </c>
      <c r="N405" s="8">
        <f>IF(OR($B405="",$G405=""),"",$B405+VLOOKUP($G405,Oppsett!$H$4:$J$7,2,FALSE)/24)</f>
        <v/>
      </c>
      <c r="O405" s="8">
        <f>IF(OR($B405="",$G405=""),"",$B405+VLOOKUP($G405,Oppsett!$H$4:$J$7,3,FALSE)/24)</f>
        <v/>
      </c>
      <c r="P405" s="8" t="n"/>
      <c r="Q405" s="8" t="n"/>
      <c r="R405">
        <f>IF($B405="","",IF($P405&lt;&gt;"",IF($P405&lt;=$N405,"OK","Påbegynt for sent"),IF(NOW()&gt;$N405,"FORFALT","Innen frist")))</f>
        <v/>
      </c>
      <c r="S405">
        <f>IF($B405="","",IF($Q405&lt;&gt;"",IF($Q405&lt;=$O405,"OK","Løst for sent"),IF(NOW()&gt;$O405,"FORFALT","Innen frist")))</f>
        <v/>
      </c>
      <c r="T405" s="10">
        <f>IF(OR($B405="",$Q405=""),"",ROUND(($Q405-$B405)*24,1))</f>
        <v/>
      </c>
    </row>
    <row r="406">
      <c r="A406">
        <f>IF($B406="","","SAK-"&amp;TEXT(ROW()-1,"0000"))</f>
        <v/>
      </c>
      <c r="B406" s="8">
        <f>IF($C406&amp;$H406="","",IF($B406="",NOW(),$B406))</f>
        <v/>
      </c>
      <c r="J406">
        <f>IF($F406="","",IFERROR(VLOOKUP($F406,Oppsett!$E$4:$F$11,2,FALSE),"– ikke tildelt –"))</f>
        <v/>
      </c>
      <c r="L406">
        <f>IF($B406="","",IF($K406&lt;&gt;"",$K406,$J406))</f>
        <v/>
      </c>
      <c r="N406" s="8">
        <f>IF(OR($B406="",$G406=""),"",$B406+VLOOKUP($G406,Oppsett!$H$4:$J$7,2,FALSE)/24)</f>
        <v/>
      </c>
      <c r="O406" s="8">
        <f>IF(OR($B406="",$G406=""),"",$B406+VLOOKUP($G406,Oppsett!$H$4:$J$7,3,FALSE)/24)</f>
        <v/>
      </c>
      <c r="P406" s="8" t="n"/>
      <c r="Q406" s="8" t="n"/>
      <c r="R406">
        <f>IF($B406="","",IF($P406&lt;&gt;"",IF($P406&lt;=$N406,"OK","Påbegynt for sent"),IF(NOW()&gt;$N406,"FORFALT","Innen frist")))</f>
        <v/>
      </c>
      <c r="S406">
        <f>IF($B406="","",IF($Q406&lt;&gt;"",IF($Q406&lt;=$O406,"OK","Løst for sent"),IF(NOW()&gt;$O406,"FORFALT","Innen frist")))</f>
        <v/>
      </c>
      <c r="T406" s="10">
        <f>IF(OR($B406="",$Q406=""),"",ROUND(($Q406-$B406)*24,1))</f>
        <v/>
      </c>
    </row>
    <row r="407">
      <c r="A407">
        <f>IF($B407="","","SAK-"&amp;TEXT(ROW()-1,"0000"))</f>
        <v/>
      </c>
      <c r="B407" s="8">
        <f>IF($C407&amp;$H407="","",IF($B407="",NOW(),$B407))</f>
        <v/>
      </c>
      <c r="J407">
        <f>IF($F407="","",IFERROR(VLOOKUP($F407,Oppsett!$E$4:$F$11,2,FALSE),"– ikke tildelt –"))</f>
        <v/>
      </c>
      <c r="L407">
        <f>IF($B407="","",IF($K407&lt;&gt;"",$K407,$J407))</f>
        <v/>
      </c>
      <c r="N407" s="8">
        <f>IF(OR($B407="",$G407=""),"",$B407+VLOOKUP($G407,Oppsett!$H$4:$J$7,2,FALSE)/24)</f>
        <v/>
      </c>
      <c r="O407" s="8">
        <f>IF(OR($B407="",$G407=""),"",$B407+VLOOKUP($G407,Oppsett!$H$4:$J$7,3,FALSE)/24)</f>
        <v/>
      </c>
      <c r="P407" s="8" t="n"/>
      <c r="Q407" s="8" t="n"/>
      <c r="R407">
        <f>IF($B407="","",IF($P407&lt;&gt;"",IF($P407&lt;=$N407,"OK","Påbegynt for sent"),IF(NOW()&gt;$N407,"FORFALT","Innen frist")))</f>
        <v/>
      </c>
      <c r="S407">
        <f>IF($B407="","",IF($Q407&lt;&gt;"",IF($Q407&lt;=$O407,"OK","Løst for sent"),IF(NOW()&gt;$O407,"FORFALT","Innen frist")))</f>
        <v/>
      </c>
      <c r="T407" s="10">
        <f>IF(OR($B407="",$Q407=""),"",ROUND(($Q407-$B407)*24,1))</f>
        <v/>
      </c>
    </row>
    <row r="408">
      <c r="A408">
        <f>IF($B408="","","SAK-"&amp;TEXT(ROW()-1,"0000"))</f>
        <v/>
      </c>
      <c r="B408" s="8">
        <f>IF($C408&amp;$H408="","",IF($B408="",NOW(),$B408))</f>
        <v/>
      </c>
      <c r="J408">
        <f>IF($F408="","",IFERROR(VLOOKUP($F408,Oppsett!$E$4:$F$11,2,FALSE),"– ikke tildelt –"))</f>
        <v/>
      </c>
      <c r="L408">
        <f>IF($B408="","",IF($K408&lt;&gt;"",$K408,$J408))</f>
        <v/>
      </c>
      <c r="N408" s="8">
        <f>IF(OR($B408="",$G408=""),"",$B408+VLOOKUP($G408,Oppsett!$H$4:$J$7,2,FALSE)/24)</f>
        <v/>
      </c>
      <c r="O408" s="8">
        <f>IF(OR($B408="",$G408=""),"",$B408+VLOOKUP($G408,Oppsett!$H$4:$J$7,3,FALSE)/24)</f>
        <v/>
      </c>
      <c r="P408" s="8" t="n"/>
      <c r="Q408" s="8" t="n"/>
      <c r="R408">
        <f>IF($B408="","",IF($P408&lt;&gt;"",IF($P408&lt;=$N408,"OK","Påbegynt for sent"),IF(NOW()&gt;$N408,"FORFALT","Innen frist")))</f>
        <v/>
      </c>
      <c r="S408">
        <f>IF($B408="","",IF($Q408&lt;&gt;"",IF($Q408&lt;=$O408,"OK","Løst for sent"),IF(NOW()&gt;$O408,"FORFALT","Innen frist")))</f>
        <v/>
      </c>
      <c r="T408" s="10">
        <f>IF(OR($B408="",$Q408=""),"",ROUND(($Q408-$B408)*24,1))</f>
        <v/>
      </c>
    </row>
    <row r="409">
      <c r="A409">
        <f>IF($B409="","","SAK-"&amp;TEXT(ROW()-1,"0000"))</f>
        <v/>
      </c>
      <c r="B409" s="8">
        <f>IF($C409&amp;$H409="","",IF($B409="",NOW(),$B409))</f>
        <v/>
      </c>
      <c r="J409">
        <f>IF($F409="","",IFERROR(VLOOKUP($F409,Oppsett!$E$4:$F$11,2,FALSE),"– ikke tildelt –"))</f>
        <v/>
      </c>
      <c r="L409">
        <f>IF($B409="","",IF($K409&lt;&gt;"",$K409,$J409))</f>
        <v/>
      </c>
      <c r="N409" s="8">
        <f>IF(OR($B409="",$G409=""),"",$B409+VLOOKUP($G409,Oppsett!$H$4:$J$7,2,FALSE)/24)</f>
        <v/>
      </c>
      <c r="O409" s="8">
        <f>IF(OR($B409="",$G409=""),"",$B409+VLOOKUP($G409,Oppsett!$H$4:$J$7,3,FALSE)/24)</f>
        <v/>
      </c>
      <c r="P409" s="8" t="n"/>
      <c r="Q409" s="8" t="n"/>
      <c r="R409">
        <f>IF($B409="","",IF($P409&lt;&gt;"",IF($P409&lt;=$N409,"OK","Påbegynt for sent"),IF(NOW()&gt;$N409,"FORFALT","Innen frist")))</f>
        <v/>
      </c>
      <c r="S409">
        <f>IF($B409="","",IF($Q409&lt;&gt;"",IF($Q409&lt;=$O409,"OK","Løst for sent"),IF(NOW()&gt;$O409,"FORFALT","Innen frist")))</f>
        <v/>
      </c>
      <c r="T409" s="10">
        <f>IF(OR($B409="",$Q409=""),"",ROUND(($Q409-$B409)*24,1))</f>
        <v/>
      </c>
    </row>
    <row r="410">
      <c r="A410">
        <f>IF($B410="","","SAK-"&amp;TEXT(ROW()-1,"0000"))</f>
        <v/>
      </c>
      <c r="B410" s="8">
        <f>IF($C410&amp;$H410="","",IF($B410="",NOW(),$B410))</f>
        <v/>
      </c>
      <c r="J410">
        <f>IF($F410="","",IFERROR(VLOOKUP($F410,Oppsett!$E$4:$F$11,2,FALSE),"– ikke tildelt –"))</f>
        <v/>
      </c>
      <c r="L410">
        <f>IF($B410="","",IF($K410&lt;&gt;"",$K410,$J410))</f>
        <v/>
      </c>
      <c r="N410" s="8">
        <f>IF(OR($B410="",$G410=""),"",$B410+VLOOKUP($G410,Oppsett!$H$4:$J$7,2,FALSE)/24)</f>
        <v/>
      </c>
      <c r="O410" s="8">
        <f>IF(OR($B410="",$G410=""),"",$B410+VLOOKUP($G410,Oppsett!$H$4:$J$7,3,FALSE)/24)</f>
        <v/>
      </c>
      <c r="P410" s="8" t="n"/>
      <c r="Q410" s="8" t="n"/>
      <c r="R410">
        <f>IF($B410="","",IF($P410&lt;&gt;"",IF($P410&lt;=$N410,"OK","Påbegynt for sent"),IF(NOW()&gt;$N410,"FORFALT","Innen frist")))</f>
        <v/>
      </c>
      <c r="S410">
        <f>IF($B410="","",IF($Q410&lt;&gt;"",IF($Q410&lt;=$O410,"OK","Løst for sent"),IF(NOW()&gt;$O410,"FORFALT","Innen frist")))</f>
        <v/>
      </c>
      <c r="T410" s="10">
        <f>IF(OR($B410="",$Q410=""),"",ROUND(($Q410-$B410)*24,1))</f>
        <v/>
      </c>
    </row>
    <row r="411">
      <c r="A411">
        <f>IF($B411="","","SAK-"&amp;TEXT(ROW()-1,"0000"))</f>
        <v/>
      </c>
      <c r="B411" s="8">
        <f>IF($C411&amp;$H411="","",IF($B411="",NOW(),$B411))</f>
        <v/>
      </c>
      <c r="J411">
        <f>IF($F411="","",IFERROR(VLOOKUP($F411,Oppsett!$E$4:$F$11,2,FALSE),"– ikke tildelt –"))</f>
        <v/>
      </c>
      <c r="L411">
        <f>IF($B411="","",IF($K411&lt;&gt;"",$K411,$J411))</f>
        <v/>
      </c>
      <c r="N411" s="8">
        <f>IF(OR($B411="",$G411=""),"",$B411+VLOOKUP($G411,Oppsett!$H$4:$J$7,2,FALSE)/24)</f>
        <v/>
      </c>
      <c r="O411" s="8">
        <f>IF(OR($B411="",$G411=""),"",$B411+VLOOKUP($G411,Oppsett!$H$4:$J$7,3,FALSE)/24)</f>
        <v/>
      </c>
      <c r="P411" s="8" t="n"/>
      <c r="Q411" s="8" t="n"/>
      <c r="R411">
        <f>IF($B411="","",IF($P411&lt;&gt;"",IF($P411&lt;=$N411,"OK","Påbegynt for sent"),IF(NOW()&gt;$N411,"FORFALT","Innen frist")))</f>
        <v/>
      </c>
      <c r="S411">
        <f>IF($B411="","",IF($Q411&lt;&gt;"",IF($Q411&lt;=$O411,"OK","Løst for sent"),IF(NOW()&gt;$O411,"FORFALT","Innen frist")))</f>
        <v/>
      </c>
      <c r="T411" s="10">
        <f>IF(OR($B411="",$Q411=""),"",ROUND(($Q411-$B411)*24,1))</f>
        <v/>
      </c>
    </row>
    <row r="412">
      <c r="A412">
        <f>IF($B412="","","SAK-"&amp;TEXT(ROW()-1,"0000"))</f>
        <v/>
      </c>
      <c r="B412" s="8">
        <f>IF($C412&amp;$H412="","",IF($B412="",NOW(),$B412))</f>
        <v/>
      </c>
      <c r="J412">
        <f>IF($F412="","",IFERROR(VLOOKUP($F412,Oppsett!$E$4:$F$11,2,FALSE),"– ikke tildelt –"))</f>
        <v/>
      </c>
      <c r="L412">
        <f>IF($B412="","",IF($K412&lt;&gt;"",$K412,$J412))</f>
        <v/>
      </c>
      <c r="N412" s="8">
        <f>IF(OR($B412="",$G412=""),"",$B412+VLOOKUP($G412,Oppsett!$H$4:$J$7,2,FALSE)/24)</f>
        <v/>
      </c>
      <c r="O412" s="8">
        <f>IF(OR($B412="",$G412=""),"",$B412+VLOOKUP($G412,Oppsett!$H$4:$J$7,3,FALSE)/24)</f>
        <v/>
      </c>
      <c r="P412" s="8" t="n"/>
      <c r="Q412" s="8" t="n"/>
      <c r="R412">
        <f>IF($B412="","",IF($P412&lt;&gt;"",IF($P412&lt;=$N412,"OK","Påbegynt for sent"),IF(NOW()&gt;$N412,"FORFALT","Innen frist")))</f>
        <v/>
      </c>
      <c r="S412">
        <f>IF($B412="","",IF($Q412&lt;&gt;"",IF($Q412&lt;=$O412,"OK","Løst for sent"),IF(NOW()&gt;$O412,"FORFALT","Innen frist")))</f>
        <v/>
      </c>
      <c r="T412" s="10">
        <f>IF(OR($B412="",$Q412=""),"",ROUND(($Q412-$B412)*24,1))</f>
        <v/>
      </c>
    </row>
    <row r="413">
      <c r="A413">
        <f>IF($B413="","","SAK-"&amp;TEXT(ROW()-1,"0000"))</f>
        <v/>
      </c>
      <c r="B413" s="8">
        <f>IF($C413&amp;$H413="","",IF($B413="",NOW(),$B413))</f>
        <v/>
      </c>
      <c r="J413">
        <f>IF($F413="","",IFERROR(VLOOKUP($F413,Oppsett!$E$4:$F$11,2,FALSE),"– ikke tildelt –"))</f>
        <v/>
      </c>
      <c r="L413">
        <f>IF($B413="","",IF($K413&lt;&gt;"",$K413,$J413))</f>
        <v/>
      </c>
      <c r="N413" s="8">
        <f>IF(OR($B413="",$G413=""),"",$B413+VLOOKUP($G413,Oppsett!$H$4:$J$7,2,FALSE)/24)</f>
        <v/>
      </c>
      <c r="O413" s="8">
        <f>IF(OR($B413="",$G413=""),"",$B413+VLOOKUP($G413,Oppsett!$H$4:$J$7,3,FALSE)/24)</f>
        <v/>
      </c>
      <c r="P413" s="8" t="n"/>
      <c r="Q413" s="8" t="n"/>
      <c r="R413">
        <f>IF($B413="","",IF($P413&lt;&gt;"",IF($P413&lt;=$N413,"OK","Påbegynt for sent"),IF(NOW()&gt;$N413,"FORFALT","Innen frist")))</f>
        <v/>
      </c>
      <c r="S413">
        <f>IF($B413="","",IF($Q413&lt;&gt;"",IF($Q413&lt;=$O413,"OK","Løst for sent"),IF(NOW()&gt;$O413,"FORFALT","Innen frist")))</f>
        <v/>
      </c>
      <c r="T413" s="10">
        <f>IF(OR($B413="",$Q413=""),"",ROUND(($Q413-$B413)*24,1))</f>
        <v/>
      </c>
    </row>
    <row r="414">
      <c r="A414">
        <f>IF($B414="","","SAK-"&amp;TEXT(ROW()-1,"0000"))</f>
        <v/>
      </c>
      <c r="B414" s="8">
        <f>IF($C414&amp;$H414="","",IF($B414="",NOW(),$B414))</f>
        <v/>
      </c>
      <c r="J414">
        <f>IF($F414="","",IFERROR(VLOOKUP($F414,Oppsett!$E$4:$F$11,2,FALSE),"– ikke tildelt –"))</f>
        <v/>
      </c>
      <c r="L414">
        <f>IF($B414="","",IF($K414&lt;&gt;"",$K414,$J414))</f>
        <v/>
      </c>
      <c r="N414" s="8">
        <f>IF(OR($B414="",$G414=""),"",$B414+VLOOKUP($G414,Oppsett!$H$4:$J$7,2,FALSE)/24)</f>
        <v/>
      </c>
      <c r="O414" s="8">
        <f>IF(OR($B414="",$G414=""),"",$B414+VLOOKUP($G414,Oppsett!$H$4:$J$7,3,FALSE)/24)</f>
        <v/>
      </c>
      <c r="P414" s="8" t="n"/>
      <c r="Q414" s="8" t="n"/>
      <c r="R414">
        <f>IF($B414="","",IF($P414&lt;&gt;"",IF($P414&lt;=$N414,"OK","Påbegynt for sent"),IF(NOW()&gt;$N414,"FORFALT","Innen frist")))</f>
        <v/>
      </c>
      <c r="S414">
        <f>IF($B414="","",IF($Q414&lt;&gt;"",IF($Q414&lt;=$O414,"OK","Løst for sent"),IF(NOW()&gt;$O414,"FORFALT","Innen frist")))</f>
        <v/>
      </c>
      <c r="T414" s="10">
        <f>IF(OR($B414="",$Q414=""),"",ROUND(($Q414-$B414)*24,1))</f>
        <v/>
      </c>
    </row>
    <row r="415">
      <c r="A415">
        <f>IF($B415="","","SAK-"&amp;TEXT(ROW()-1,"0000"))</f>
        <v/>
      </c>
      <c r="B415" s="8">
        <f>IF($C415&amp;$H415="","",IF($B415="",NOW(),$B415))</f>
        <v/>
      </c>
      <c r="J415">
        <f>IF($F415="","",IFERROR(VLOOKUP($F415,Oppsett!$E$4:$F$11,2,FALSE),"– ikke tildelt –"))</f>
        <v/>
      </c>
      <c r="L415">
        <f>IF($B415="","",IF($K415&lt;&gt;"",$K415,$J415))</f>
        <v/>
      </c>
      <c r="N415" s="8">
        <f>IF(OR($B415="",$G415=""),"",$B415+VLOOKUP($G415,Oppsett!$H$4:$J$7,2,FALSE)/24)</f>
        <v/>
      </c>
      <c r="O415" s="8">
        <f>IF(OR($B415="",$G415=""),"",$B415+VLOOKUP($G415,Oppsett!$H$4:$J$7,3,FALSE)/24)</f>
        <v/>
      </c>
      <c r="P415" s="8" t="n"/>
      <c r="Q415" s="8" t="n"/>
      <c r="R415">
        <f>IF($B415="","",IF($P415&lt;&gt;"",IF($P415&lt;=$N415,"OK","Påbegynt for sent"),IF(NOW()&gt;$N415,"FORFALT","Innen frist")))</f>
        <v/>
      </c>
      <c r="S415">
        <f>IF($B415="","",IF($Q415&lt;&gt;"",IF($Q415&lt;=$O415,"OK","Løst for sent"),IF(NOW()&gt;$O415,"FORFALT","Innen frist")))</f>
        <v/>
      </c>
      <c r="T415" s="10">
        <f>IF(OR($B415="",$Q415=""),"",ROUND(($Q415-$B415)*24,1))</f>
        <v/>
      </c>
    </row>
    <row r="416">
      <c r="A416">
        <f>IF($B416="","","SAK-"&amp;TEXT(ROW()-1,"0000"))</f>
        <v/>
      </c>
      <c r="B416" s="8">
        <f>IF($C416&amp;$H416="","",IF($B416="",NOW(),$B416))</f>
        <v/>
      </c>
      <c r="J416">
        <f>IF($F416="","",IFERROR(VLOOKUP($F416,Oppsett!$E$4:$F$11,2,FALSE),"– ikke tildelt –"))</f>
        <v/>
      </c>
      <c r="L416">
        <f>IF($B416="","",IF($K416&lt;&gt;"",$K416,$J416))</f>
        <v/>
      </c>
      <c r="N416" s="8">
        <f>IF(OR($B416="",$G416=""),"",$B416+VLOOKUP($G416,Oppsett!$H$4:$J$7,2,FALSE)/24)</f>
        <v/>
      </c>
      <c r="O416" s="8">
        <f>IF(OR($B416="",$G416=""),"",$B416+VLOOKUP($G416,Oppsett!$H$4:$J$7,3,FALSE)/24)</f>
        <v/>
      </c>
      <c r="P416" s="8" t="n"/>
      <c r="Q416" s="8" t="n"/>
      <c r="R416">
        <f>IF($B416="","",IF($P416&lt;&gt;"",IF($P416&lt;=$N416,"OK","Påbegynt for sent"),IF(NOW()&gt;$N416,"FORFALT","Innen frist")))</f>
        <v/>
      </c>
      <c r="S416">
        <f>IF($B416="","",IF($Q416&lt;&gt;"",IF($Q416&lt;=$O416,"OK","Løst for sent"),IF(NOW()&gt;$O416,"FORFALT","Innen frist")))</f>
        <v/>
      </c>
      <c r="T416" s="10">
        <f>IF(OR($B416="",$Q416=""),"",ROUND(($Q416-$B416)*24,1))</f>
        <v/>
      </c>
    </row>
    <row r="417">
      <c r="A417">
        <f>IF($B417="","","SAK-"&amp;TEXT(ROW()-1,"0000"))</f>
        <v/>
      </c>
      <c r="B417" s="8">
        <f>IF($C417&amp;$H417="","",IF($B417="",NOW(),$B417))</f>
        <v/>
      </c>
      <c r="J417">
        <f>IF($F417="","",IFERROR(VLOOKUP($F417,Oppsett!$E$4:$F$11,2,FALSE),"– ikke tildelt –"))</f>
        <v/>
      </c>
      <c r="L417">
        <f>IF($B417="","",IF($K417&lt;&gt;"",$K417,$J417))</f>
        <v/>
      </c>
      <c r="N417" s="8">
        <f>IF(OR($B417="",$G417=""),"",$B417+VLOOKUP($G417,Oppsett!$H$4:$J$7,2,FALSE)/24)</f>
        <v/>
      </c>
      <c r="O417" s="8">
        <f>IF(OR($B417="",$G417=""),"",$B417+VLOOKUP($G417,Oppsett!$H$4:$J$7,3,FALSE)/24)</f>
        <v/>
      </c>
      <c r="P417" s="8" t="n"/>
      <c r="Q417" s="8" t="n"/>
      <c r="R417">
        <f>IF($B417="","",IF($P417&lt;&gt;"",IF($P417&lt;=$N417,"OK","Påbegynt for sent"),IF(NOW()&gt;$N417,"FORFALT","Innen frist")))</f>
        <v/>
      </c>
      <c r="S417">
        <f>IF($B417="","",IF($Q417&lt;&gt;"",IF($Q417&lt;=$O417,"OK","Løst for sent"),IF(NOW()&gt;$O417,"FORFALT","Innen frist")))</f>
        <v/>
      </c>
      <c r="T417" s="10">
        <f>IF(OR($B417="",$Q417=""),"",ROUND(($Q417-$B417)*24,1))</f>
        <v/>
      </c>
    </row>
    <row r="418">
      <c r="A418">
        <f>IF($B418="","","SAK-"&amp;TEXT(ROW()-1,"0000"))</f>
        <v/>
      </c>
      <c r="B418" s="8">
        <f>IF($C418&amp;$H418="","",IF($B418="",NOW(),$B418))</f>
        <v/>
      </c>
      <c r="J418">
        <f>IF($F418="","",IFERROR(VLOOKUP($F418,Oppsett!$E$4:$F$11,2,FALSE),"– ikke tildelt –"))</f>
        <v/>
      </c>
      <c r="L418">
        <f>IF($B418="","",IF($K418&lt;&gt;"",$K418,$J418))</f>
        <v/>
      </c>
      <c r="N418" s="8">
        <f>IF(OR($B418="",$G418=""),"",$B418+VLOOKUP($G418,Oppsett!$H$4:$J$7,2,FALSE)/24)</f>
        <v/>
      </c>
      <c r="O418" s="8">
        <f>IF(OR($B418="",$G418=""),"",$B418+VLOOKUP($G418,Oppsett!$H$4:$J$7,3,FALSE)/24)</f>
        <v/>
      </c>
      <c r="P418" s="8" t="n"/>
      <c r="Q418" s="8" t="n"/>
      <c r="R418">
        <f>IF($B418="","",IF($P418&lt;&gt;"",IF($P418&lt;=$N418,"OK","Påbegynt for sent"),IF(NOW()&gt;$N418,"FORFALT","Innen frist")))</f>
        <v/>
      </c>
      <c r="S418">
        <f>IF($B418="","",IF($Q418&lt;&gt;"",IF($Q418&lt;=$O418,"OK","Løst for sent"),IF(NOW()&gt;$O418,"FORFALT","Innen frist")))</f>
        <v/>
      </c>
      <c r="T418" s="10">
        <f>IF(OR($B418="",$Q418=""),"",ROUND(($Q418-$B418)*24,1))</f>
        <v/>
      </c>
    </row>
    <row r="419">
      <c r="A419">
        <f>IF($B419="","","SAK-"&amp;TEXT(ROW()-1,"0000"))</f>
        <v/>
      </c>
      <c r="B419" s="8">
        <f>IF($C419&amp;$H419="","",IF($B419="",NOW(),$B419))</f>
        <v/>
      </c>
      <c r="J419">
        <f>IF($F419="","",IFERROR(VLOOKUP($F419,Oppsett!$E$4:$F$11,2,FALSE),"– ikke tildelt –"))</f>
        <v/>
      </c>
      <c r="L419">
        <f>IF($B419="","",IF($K419&lt;&gt;"",$K419,$J419))</f>
        <v/>
      </c>
      <c r="N419" s="8">
        <f>IF(OR($B419="",$G419=""),"",$B419+VLOOKUP($G419,Oppsett!$H$4:$J$7,2,FALSE)/24)</f>
        <v/>
      </c>
      <c r="O419" s="8">
        <f>IF(OR($B419="",$G419=""),"",$B419+VLOOKUP($G419,Oppsett!$H$4:$J$7,3,FALSE)/24)</f>
        <v/>
      </c>
      <c r="P419" s="8" t="n"/>
      <c r="Q419" s="8" t="n"/>
      <c r="R419">
        <f>IF($B419="","",IF($P419&lt;&gt;"",IF($P419&lt;=$N419,"OK","Påbegynt for sent"),IF(NOW()&gt;$N419,"FORFALT","Innen frist")))</f>
        <v/>
      </c>
      <c r="S419">
        <f>IF($B419="","",IF($Q419&lt;&gt;"",IF($Q419&lt;=$O419,"OK","Løst for sent"),IF(NOW()&gt;$O419,"FORFALT","Innen frist")))</f>
        <v/>
      </c>
      <c r="T419" s="10">
        <f>IF(OR($B419="",$Q419=""),"",ROUND(($Q419-$B419)*24,1))</f>
        <v/>
      </c>
    </row>
    <row r="420">
      <c r="A420">
        <f>IF($B420="","","SAK-"&amp;TEXT(ROW()-1,"0000"))</f>
        <v/>
      </c>
      <c r="B420" s="8">
        <f>IF($C420&amp;$H420="","",IF($B420="",NOW(),$B420))</f>
        <v/>
      </c>
      <c r="J420">
        <f>IF($F420="","",IFERROR(VLOOKUP($F420,Oppsett!$E$4:$F$11,2,FALSE),"– ikke tildelt –"))</f>
        <v/>
      </c>
      <c r="L420">
        <f>IF($B420="","",IF($K420&lt;&gt;"",$K420,$J420))</f>
        <v/>
      </c>
      <c r="N420" s="8">
        <f>IF(OR($B420="",$G420=""),"",$B420+VLOOKUP($G420,Oppsett!$H$4:$J$7,2,FALSE)/24)</f>
        <v/>
      </c>
      <c r="O420" s="8">
        <f>IF(OR($B420="",$G420=""),"",$B420+VLOOKUP($G420,Oppsett!$H$4:$J$7,3,FALSE)/24)</f>
        <v/>
      </c>
      <c r="P420" s="8" t="n"/>
      <c r="Q420" s="8" t="n"/>
      <c r="R420">
        <f>IF($B420="","",IF($P420&lt;&gt;"",IF($P420&lt;=$N420,"OK","Påbegynt for sent"),IF(NOW()&gt;$N420,"FORFALT","Innen frist")))</f>
        <v/>
      </c>
      <c r="S420">
        <f>IF($B420="","",IF($Q420&lt;&gt;"",IF($Q420&lt;=$O420,"OK","Løst for sent"),IF(NOW()&gt;$O420,"FORFALT","Innen frist")))</f>
        <v/>
      </c>
      <c r="T420" s="10">
        <f>IF(OR($B420="",$Q420=""),"",ROUND(($Q420-$B420)*24,1))</f>
        <v/>
      </c>
    </row>
    <row r="421">
      <c r="A421">
        <f>IF($B421="","","SAK-"&amp;TEXT(ROW()-1,"0000"))</f>
        <v/>
      </c>
      <c r="B421" s="8">
        <f>IF($C421&amp;$H421="","",IF($B421="",NOW(),$B421))</f>
        <v/>
      </c>
      <c r="J421">
        <f>IF($F421="","",IFERROR(VLOOKUP($F421,Oppsett!$E$4:$F$11,2,FALSE),"– ikke tildelt –"))</f>
        <v/>
      </c>
      <c r="L421">
        <f>IF($B421="","",IF($K421&lt;&gt;"",$K421,$J421))</f>
        <v/>
      </c>
      <c r="N421" s="8">
        <f>IF(OR($B421="",$G421=""),"",$B421+VLOOKUP($G421,Oppsett!$H$4:$J$7,2,FALSE)/24)</f>
        <v/>
      </c>
      <c r="O421" s="8">
        <f>IF(OR($B421="",$G421=""),"",$B421+VLOOKUP($G421,Oppsett!$H$4:$J$7,3,FALSE)/24)</f>
        <v/>
      </c>
      <c r="P421" s="8" t="n"/>
      <c r="Q421" s="8" t="n"/>
      <c r="R421">
        <f>IF($B421="","",IF($P421&lt;&gt;"",IF($P421&lt;=$N421,"OK","Påbegynt for sent"),IF(NOW()&gt;$N421,"FORFALT","Innen frist")))</f>
        <v/>
      </c>
      <c r="S421">
        <f>IF($B421="","",IF($Q421&lt;&gt;"",IF($Q421&lt;=$O421,"OK","Løst for sent"),IF(NOW()&gt;$O421,"FORFALT","Innen frist")))</f>
        <v/>
      </c>
      <c r="T421" s="10">
        <f>IF(OR($B421="",$Q421=""),"",ROUND(($Q421-$B421)*24,1))</f>
        <v/>
      </c>
    </row>
    <row r="422">
      <c r="A422">
        <f>IF($B422="","","SAK-"&amp;TEXT(ROW()-1,"0000"))</f>
        <v/>
      </c>
      <c r="B422" s="8">
        <f>IF($C422&amp;$H422="","",IF($B422="",NOW(),$B422))</f>
        <v/>
      </c>
      <c r="J422">
        <f>IF($F422="","",IFERROR(VLOOKUP($F422,Oppsett!$E$4:$F$11,2,FALSE),"– ikke tildelt –"))</f>
        <v/>
      </c>
      <c r="L422">
        <f>IF($B422="","",IF($K422&lt;&gt;"",$K422,$J422))</f>
        <v/>
      </c>
      <c r="N422" s="8">
        <f>IF(OR($B422="",$G422=""),"",$B422+VLOOKUP($G422,Oppsett!$H$4:$J$7,2,FALSE)/24)</f>
        <v/>
      </c>
      <c r="O422" s="8">
        <f>IF(OR($B422="",$G422=""),"",$B422+VLOOKUP($G422,Oppsett!$H$4:$J$7,3,FALSE)/24)</f>
        <v/>
      </c>
      <c r="P422" s="8" t="n"/>
      <c r="Q422" s="8" t="n"/>
      <c r="R422">
        <f>IF($B422="","",IF($P422&lt;&gt;"",IF($P422&lt;=$N422,"OK","Påbegynt for sent"),IF(NOW()&gt;$N422,"FORFALT","Innen frist")))</f>
        <v/>
      </c>
      <c r="S422">
        <f>IF($B422="","",IF($Q422&lt;&gt;"",IF($Q422&lt;=$O422,"OK","Løst for sent"),IF(NOW()&gt;$O422,"FORFALT","Innen frist")))</f>
        <v/>
      </c>
      <c r="T422" s="10">
        <f>IF(OR($B422="",$Q422=""),"",ROUND(($Q422-$B422)*24,1))</f>
        <v/>
      </c>
    </row>
    <row r="423">
      <c r="A423">
        <f>IF($B423="","","SAK-"&amp;TEXT(ROW()-1,"0000"))</f>
        <v/>
      </c>
      <c r="B423" s="8">
        <f>IF($C423&amp;$H423="","",IF($B423="",NOW(),$B423))</f>
        <v/>
      </c>
      <c r="J423">
        <f>IF($F423="","",IFERROR(VLOOKUP($F423,Oppsett!$E$4:$F$11,2,FALSE),"– ikke tildelt –"))</f>
        <v/>
      </c>
      <c r="L423">
        <f>IF($B423="","",IF($K423&lt;&gt;"",$K423,$J423))</f>
        <v/>
      </c>
      <c r="N423" s="8">
        <f>IF(OR($B423="",$G423=""),"",$B423+VLOOKUP($G423,Oppsett!$H$4:$J$7,2,FALSE)/24)</f>
        <v/>
      </c>
      <c r="O423" s="8">
        <f>IF(OR($B423="",$G423=""),"",$B423+VLOOKUP($G423,Oppsett!$H$4:$J$7,3,FALSE)/24)</f>
        <v/>
      </c>
      <c r="P423" s="8" t="n"/>
      <c r="Q423" s="8" t="n"/>
      <c r="R423">
        <f>IF($B423="","",IF($P423&lt;&gt;"",IF($P423&lt;=$N423,"OK","Påbegynt for sent"),IF(NOW()&gt;$N423,"FORFALT","Innen frist")))</f>
        <v/>
      </c>
      <c r="S423">
        <f>IF($B423="","",IF($Q423&lt;&gt;"",IF($Q423&lt;=$O423,"OK","Løst for sent"),IF(NOW()&gt;$O423,"FORFALT","Innen frist")))</f>
        <v/>
      </c>
      <c r="T423" s="10">
        <f>IF(OR($B423="",$Q423=""),"",ROUND(($Q423-$B423)*24,1))</f>
        <v/>
      </c>
    </row>
    <row r="424">
      <c r="A424">
        <f>IF($B424="","","SAK-"&amp;TEXT(ROW()-1,"0000"))</f>
        <v/>
      </c>
      <c r="B424" s="8">
        <f>IF($C424&amp;$H424="","",IF($B424="",NOW(),$B424))</f>
        <v/>
      </c>
      <c r="J424">
        <f>IF($F424="","",IFERROR(VLOOKUP($F424,Oppsett!$E$4:$F$11,2,FALSE),"– ikke tildelt –"))</f>
        <v/>
      </c>
      <c r="L424">
        <f>IF($B424="","",IF($K424&lt;&gt;"",$K424,$J424))</f>
        <v/>
      </c>
      <c r="N424" s="8">
        <f>IF(OR($B424="",$G424=""),"",$B424+VLOOKUP($G424,Oppsett!$H$4:$J$7,2,FALSE)/24)</f>
        <v/>
      </c>
      <c r="O424" s="8">
        <f>IF(OR($B424="",$G424=""),"",$B424+VLOOKUP($G424,Oppsett!$H$4:$J$7,3,FALSE)/24)</f>
        <v/>
      </c>
      <c r="P424" s="8" t="n"/>
      <c r="Q424" s="8" t="n"/>
      <c r="R424">
        <f>IF($B424="","",IF($P424&lt;&gt;"",IF($P424&lt;=$N424,"OK","Påbegynt for sent"),IF(NOW()&gt;$N424,"FORFALT","Innen frist")))</f>
        <v/>
      </c>
      <c r="S424">
        <f>IF($B424="","",IF($Q424&lt;&gt;"",IF($Q424&lt;=$O424,"OK","Løst for sent"),IF(NOW()&gt;$O424,"FORFALT","Innen frist")))</f>
        <v/>
      </c>
      <c r="T424" s="10">
        <f>IF(OR($B424="",$Q424=""),"",ROUND(($Q424-$B424)*24,1))</f>
        <v/>
      </c>
    </row>
    <row r="425">
      <c r="A425">
        <f>IF($B425="","","SAK-"&amp;TEXT(ROW()-1,"0000"))</f>
        <v/>
      </c>
      <c r="B425" s="8">
        <f>IF($C425&amp;$H425="","",IF($B425="",NOW(),$B425))</f>
        <v/>
      </c>
      <c r="J425">
        <f>IF($F425="","",IFERROR(VLOOKUP($F425,Oppsett!$E$4:$F$11,2,FALSE),"– ikke tildelt –"))</f>
        <v/>
      </c>
      <c r="L425">
        <f>IF($B425="","",IF($K425&lt;&gt;"",$K425,$J425))</f>
        <v/>
      </c>
      <c r="N425" s="8">
        <f>IF(OR($B425="",$G425=""),"",$B425+VLOOKUP($G425,Oppsett!$H$4:$J$7,2,FALSE)/24)</f>
        <v/>
      </c>
      <c r="O425" s="8">
        <f>IF(OR($B425="",$G425=""),"",$B425+VLOOKUP($G425,Oppsett!$H$4:$J$7,3,FALSE)/24)</f>
        <v/>
      </c>
      <c r="P425" s="8" t="n"/>
      <c r="Q425" s="8" t="n"/>
      <c r="R425">
        <f>IF($B425="","",IF($P425&lt;&gt;"",IF($P425&lt;=$N425,"OK","Påbegynt for sent"),IF(NOW()&gt;$N425,"FORFALT","Innen frist")))</f>
        <v/>
      </c>
      <c r="S425">
        <f>IF($B425="","",IF($Q425&lt;&gt;"",IF($Q425&lt;=$O425,"OK","Løst for sent"),IF(NOW()&gt;$O425,"FORFALT","Innen frist")))</f>
        <v/>
      </c>
      <c r="T425" s="10">
        <f>IF(OR($B425="",$Q425=""),"",ROUND(($Q425-$B425)*24,1))</f>
        <v/>
      </c>
    </row>
    <row r="426">
      <c r="A426">
        <f>IF($B426="","","SAK-"&amp;TEXT(ROW()-1,"0000"))</f>
        <v/>
      </c>
      <c r="B426" s="8">
        <f>IF($C426&amp;$H426="","",IF($B426="",NOW(),$B426))</f>
        <v/>
      </c>
      <c r="J426">
        <f>IF($F426="","",IFERROR(VLOOKUP($F426,Oppsett!$E$4:$F$11,2,FALSE),"– ikke tildelt –"))</f>
        <v/>
      </c>
      <c r="L426">
        <f>IF($B426="","",IF($K426&lt;&gt;"",$K426,$J426))</f>
        <v/>
      </c>
      <c r="N426" s="8">
        <f>IF(OR($B426="",$G426=""),"",$B426+VLOOKUP($G426,Oppsett!$H$4:$J$7,2,FALSE)/24)</f>
        <v/>
      </c>
      <c r="O426" s="8">
        <f>IF(OR($B426="",$G426=""),"",$B426+VLOOKUP($G426,Oppsett!$H$4:$J$7,3,FALSE)/24)</f>
        <v/>
      </c>
      <c r="P426" s="8" t="n"/>
      <c r="Q426" s="8" t="n"/>
      <c r="R426">
        <f>IF($B426="","",IF($P426&lt;&gt;"",IF($P426&lt;=$N426,"OK","Påbegynt for sent"),IF(NOW()&gt;$N426,"FORFALT","Innen frist")))</f>
        <v/>
      </c>
      <c r="S426">
        <f>IF($B426="","",IF($Q426&lt;&gt;"",IF($Q426&lt;=$O426,"OK","Løst for sent"),IF(NOW()&gt;$O426,"FORFALT","Innen frist")))</f>
        <v/>
      </c>
      <c r="T426" s="10">
        <f>IF(OR($B426="",$Q426=""),"",ROUND(($Q426-$B426)*24,1))</f>
        <v/>
      </c>
    </row>
    <row r="427">
      <c r="A427">
        <f>IF($B427="","","SAK-"&amp;TEXT(ROW()-1,"0000"))</f>
        <v/>
      </c>
      <c r="B427" s="8">
        <f>IF($C427&amp;$H427="","",IF($B427="",NOW(),$B427))</f>
        <v/>
      </c>
      <c r="J427">
        <f>IF($F427="","",IFERROR(VLOOKUP($F427,Oppsett!$E$4:$F$11,2,FALSE),"– ikke tildelt –"))</f>
        <v/>
      </c>
      <c r="L427">
        <f>IF($B427="","",IF($K427&lt;&gt;"",$K427,$J427))</f>
        <v/>
      </c>
      <c r="N427" s="8">
        <f>IF(OR($B427="",$G427=""),"",$B427+VLOOKUP($G427,Oppsett!$H$4:$J$7,2,FALSE)/24)</f>
        <v/>
      </c>
      <c r="O427" s="8">
        <f>IF(OR($B427="",$G427=""),"",$B427+VLOOKUP($G427,Oppsett!$H$4:$J$7,3,FALSE)/24)</f>
        <v/>
      </c>
      <c r="P427" s="8" t="n"/>
      <c r="Q427" s="8" t="n"/>
      <c r="R427">
        <f>IF($B427="","",IF($P427&lt;&gt;"",IF($P427&lt;=$N427,"OK","Påbegynt for sent"),IF(NOW()&gt;$N427,"FORFALT","Innen frist")))</f>
        <v/>
      </c>
      <c r="S427">
        <f>IF($B427="","",IF($Q427&lt;&gt;"",IF($Q427&lt;=$O427,"OK","Løst for sent"),IF(NOW()&gt;$O427,"FORFALT","Innen frist")))</f>
        <v/>
      </c>
      <c r="T427" s="10">
        <f>IF(OR($B427="",$Q427=""),"",ROUND(($Q427-$B427)*24,1))</f>
        <v/>
      </c>
    </row>
    <row r="428">
      <c r="A428">
        <f>IF($B428="","","SAK-"&amp;TEXT(ROW()-1,"0000"))</f>
        <v/>
      </c>
      <c r="B428" s="8">
        <f>IF($C428&amp;$H428="","",IF($B428="",NOW(),$B428))</f>
        <v/>
      </c>
      <c r="J428">
        <f>IF($F428="","",IFERROR(VLOOKUP($F428,Oppsett!$E$4:$F$11,2,FALSE),"– ikke tildelt –"))</f>
        <v/>
      </c>
      <c r="L428">
        <f>IF($B428="","",IF($K428&lt;&gt;"",$K428,$J428))</f>
        <v/>
      </c>
      <c r="N428" s="8">
        <f>IF(OR($B428="",$G428=""),"",$B428+VLOOKUP($G428,Oppsett!$H$4:$J$7,2,FALSE)/24)</f>
        <v/>
      </c>
      <c r="O428" s="8">
        <f>IF(OR($B428="",$G428=""),"",$B428+VLOOKUP($G428,Oppsett!$H$4:$J$7,3,FALSE)/24)</f>
        <v/>
      </c>
      <c r="P428" s="8" t="n"/>
      <c r="Q428" s="8" t="n"/>
      <c r="R428">
        <f>IF($B428="","",IF($P428&lt;&gt;"",IF($P428&lt;=$N428,"OK","Påbegynt for sent"),IF(NOW()&gt;$N428,"FORFALT","Innen frist")))</f>
        <v/>
      </c>
      <c r="S428">
        <f>IF($B428="","",IF($Q428&lt;&gt;"",IF($Q428&lt;=$O428,"OK","Løst for sent"),IF(NOW()&gt;$O428,"FORFALT","Innen frist")))</f>
        <v/>
      </c>
      <c r="T428" s="10">
        <f>IF(OR($B428="",$Q428=""),"",ROUND(($Q428-$B428)*24,1))</f>
        <v/>
      </c>
    </row>
    <row r="429">
      <c r="A429">
        <f>IF($B429="","","SAK-"&amp;TEXT(ROW()-1,"0000"))</f>
        <v/>
      </c>
      <c r="B429" s="8">
        <f>IF($C429&amp;$H429="","",IF($B429="",NOW(),$B429))</f>
        <v/>
      </c>
      <c r="J429">
        <f>IF($F429="","",IFERROR(VLOOKUP($F429,Oppsett!$E$4:$F$11,2,FALSE),"– ikke tildelt –"))</f>
        <v/>
      </c>
      <c r="L429">
        <f>IF($B429="","",IF($K429&lt;&gt;"",$K429,$J429))</f>
        <v/>
      </c>
      <c r="N429" s="8">
        <f>IF(OR($B429="",$G429=""),"",$B429+VLOOKUP($G429,Oppsett!$H$4:$J$7,2,FALSE)/24)</f>
        <v/>
      </c>
      <c r="O429" s="8">
        <f>IF(OR($B429="",$G429=""),"",$B429+VLOOKUP($G429,Oppsett!$H$4:$J$7,3,FALSE)/24)</f>
        <v/>
      </c>
      <c r="P429" s="8" t="n"/>
      <c r="Q429" s="8" t="n"/>
      <c r="R429">
        <f>IF($B429="","",IF($P429&lt;&gt;"",IF($P429&lt;=$N429,"OK","Påbegynt for sent"),IF(NOW()&gt;$N429,"FORFALT","Innen frist")))</f>
        <v/>
      </c>
      <c r="S429">
        <f>IF($B429="","",IF($Q429&lt;&gt;"",IF($Q429&lt;=$O429,"OK","Løst for sent"),IF(NOW()&gt;$O429,"FORFALT","Innen frist")))</f>
        <v/>
      </c>
      <c r="T429" s="10">
        <f>IF(OR($B429="",$Q429=""),"",ROUND(($Q429-$B429)*24,1))</f>
        <v/>
      </c>
    </row>
    <row r="430">
      <c r="A430">
        <f>IF($B430="","","SAK-"&amp;TEXT(ROW()-1,"0000"))</f>
        <v/>
      </c>
      <c r="B430" s="8">
        <f>IF($C430&amp;$H430="","",IF($B430="",NOW(),$B430))</f>
        <v/>
      </c>
      <c r="J430">
        <f>IF($F430="","",IFERROR(VLOOKUP($F430,Oppsett!$E$4:$F$11,2,FALSE),"– ikke tildelt –"))</f>
        <v/>
      </c>
      <c r="L430">
        <f>IF($B430="","",IF($K430&lt;&gt;"",$K430,$J430))</f>
        <v/>
      </c>
      <c r="N430" s="8">
        <f>IF(OR($B430="",$G430=""),"",$B430+VLOOKUP($G430,Oppsett!$H$4:$J$7,2,FALSE)/24)</f>
        <v/>
      </c>
      <c r="O430" s="8">
        <f>IF(OR($B430="",$G430=""),"",$B430+VLOOKUP($G430,Oppsett!$H$4:$J$7,3,FALSE)/24)</f>
        <v/>
      </c>
      <c r="P430" s="8" t="n"/>
      <c r="Q430" s="8" t="n"/>
      <c r="R430">
        <f>IF($B430="","",IF($P430&lt;&gt;"",IF($P430&lt;=$N430,"OK","Påbegynt for sent"),IF(NOW()&gt;$N430,"FORFALT","Innen frist")))</f>
        <v/>
      </c>
      <c r="S430">
        <f>IF($B430="","",IF($Q430&lt;&gt;"",IF($Q430&lt;=$O430,"OK","Løst for sent"),IF(NOW()&gt;$O430,"FORFALT","Innen frist")))</f>
        <v/>
      </c>
      <c r="T430" s="10">
        <f>IF(OR($B430="",$Q430=""),"",ROUND(($Q430-$B430)*24,1))</f>
        <v/>
      </c>
    </row>
    <row r="431">
      <c r="A431">
        <f>IF($B431="","","SAK-"&amp;TEXT(ROW()-1,"0000"))</f>
        <v/>
      </c>
      <c r="B431" s="8">
        <f>IF($C431&amp;$H431="","",IF($B431="",NOW(),$B431))</f>
        <v/>
      </c>
      <c r="J431">
        <f>IF($F431="","",IFERROR(VLOOKUP($F431,Oppsett!$E$4:$F$11,2,FALSE),"– ikke tildelt –"))</f>
        <v/>
      </c>
      <c r="L431">
        <f>IF($B431="","",IF($K431&lt;&gt;"",$K431,$J431))</f>
        <v/>
      </c>
      <c r="N431" s="8">
        <f>IF(OR($B431="",$G431=""),"",$B431+VLOOKUP($G431,Oppsett!$H$4:$J$7,2,FALSE)/24)</f>
        <v/>
      </c>
      <c r="O431" s="8">
        <f>IF(OR($B431="",$G431=""),"",$B431+VLOOKUP($G431,Oppsett!$H$4:$J$7,3,FALSE)/24)</f>
        <v/>
      </c>
      <c r="P431" s="8" t="n"/>
      <c r="Q431" s="8" t="n"/>
      <c r="R431">
        <f>IF($B431="","",IF($P431&lt;&gt;"",IF($P431&lt;=$N431,"OK","Påbegynt for sent"),IF(NOW()&gt;$N431,"FORFALT","Innen frist")))</f>
        <v/>
      </c>
      <c r="S431">
        <f>IF($B431="","",IF($Q431&lt;&gt;"",IF($Q431&lt;=$O431,"OK","Løst for sent"),IF(NOW()&gt;$O431,"FORFALT","Innen frist")))</f>
        <v/>
      </c>
      <c r="T431" s="10">
        <f>IF(OR($B431="",$Q431=""),"",ROUND(($Q431-$B431)*24,1))</f>
        <v/>
      </c>
    </row>
    <row r="432">
      <c r="A432">
        <f>IF($B432="","","SAK-"&amp;TEXT(ROW()-1,"0000"))</f>
        <v/>
      </c>
      <c r="B432" s="8">
        <f>IF($C432&amp;$H432="","",IF($B432="",NOW(),$B432))</f>
        <v/>
      </c>
      <c r="J432">
        <f>IF($F432="","",IFERROR(VLOOKUP($F432,Oppsett!$E$4:$F$11,2,FALSE),"– ikke tildelt –"))</f>
        <v/>
      </c>
      <c r="L432">
        <f>IF($B432="","",IF($K432&lt;&gt;"",$K432,$J432))</f>
        <v/>
      </c>
      <c r="N432" s="8">
        <f>IF(OR($B432="",$G432=""),"",$B432+VLOOKUP($G432,Oppsett!$H$4:$J$7,2,FALSE)/24)</f>
        <v/>
      </c>
      <c r="O432" s="8">
        <f>IF(OR($B432="",$G432=""),"",$B432+VLOOKUP($G432,Oppsett!$H$4:$J$7,3,FALSE)/24)</f>
        <v/>
      </c>
      <c r="P432" s="8" t="n"/>
      <c r="Q432" s="8" t="n"/>
      <c r="R432">
        <f>IF($B432="","",IF($P432&lt;&gt;"",IF($P432&lt;=$N432,"OK","Påbegynt for sent"),IF(NOW()&gt;$N432,"FORFALT","Innen frist")))</f>
        <v/>
      </c>
      <c r="S432">
        <f>IF($B432="","",IF($Q432&lt;&gt;"",IF($Q432&lt;=$O432,"OK","Løst for sent"),IF(NOW()&gt;$O432,"FORFALT","Innen frist")))</f>
        <v/>
      </c>
      <c r="T432" s="10">
        <f>IF(OR($B432="",$Q432=""),"",ROUND(($Q432-$B432)*24,1))</f>
        <v/>
      </c>
    </row>
    <row r="433">
      <c r="A433">
        <f>IF($B433="","","SAK-"&amp;TEXT(ROW()-1,"0000"))</f>
        <v/>
      </c>
      <c r="B433" s="8">
        <f>IF($C433&amp;$H433="","",IF($B433="",NOW(),$B433))</f>
        <v/>
      </c>
      <c r="J433">
        <f>IF($F433="","",IFERROR(VLOOKUP($F433,Oppsett!$E$4:$F$11,2,FALSE),"– ikke tildelt –"))</f>
        <v/>
      </c>
      <c r="L433">
        <f>IF($B433="","",IF($K433&lt;&gt;"",$K433,$J433))</f>
        <v/>
      </c>
      <c r="N433" s="8">
        <f>IF(OR($B433="",$G433=""),"",$B433+VLOOKUP($G433,Oppsett!$H$4:$J$7,2,FALSE)/24)</f>
        <v/>
      </c>
      <c r="O433" s="8">
        <f>IF(OR($B433="",$G433=""),"",$B433+VLOOKUP($G433,Oppsett!$H$4:$J$7,3,FALSE)/24)</f>
        <v/>
      </c>
      <c r="P433" s="8" t="n"/>
      <c r="Q433" s="8" t="n"/>
      <c r="R433">
        <f>IF($B433="","",IF($P433&lt;&gt;"",IF($P433&lt;=$N433,"OK","Påbegynt for sent"),IF(NOW()&gt;$N433,"FORFALT","Innen frist")))</f>
        <v/>
      </c>
      <c r="S433">
        <f>IF($B433="","",IF($Q433&lt;&gt;"",IF($Q433&lt;=$O433,"OK","Løst for sent"),IF(NOW()&gt;$O433,"FORFALT","Innen frist")))</f>
        <v/>
      </c>
      <c r="T433" s="10">
        <f>IF(OR($B433="",$Q433=""),"",ROUND(($Q433-$B433)*24,1))</f>
        <v/>
      </c>
    </row>
    <row r="434">
      <c r="A434">
        <f>IF($B434="","","SAK-"&amp;TEXT(ROW()-1,"0000"))</f>
        <v/>
      </c>
      <c r="B434" s="8">
        <f>IF($C434&amp;$H434="","",IF($B434="",NOW(),$B434))</f>
        <v/>
      </c>
      <c r="J434">
        <f>IF($F434="","",IFERROR(VLOOKUP($F434,Oppsett!$E$4:$F$11,2,FALSE),"– ikke tildelt –"))</f>
        <v/>
      </c>
      <c r="L434">
        <f>IF($B434="","",IF($K434&lt;&gt;"",$K434,$J434))</f>
        <v/>
      </c>
      <c r="N434" s="8">
        <f>IF(OR($B434="",$G434=""),"",$B434+VLOOKUP($G434,Oppsett!$H$4:$J$7,2,FALSE)/24)</f>
        <v/>
      </c>
      <c r="O434" s="8">
        <f>IF(OR($B434="",$G434=""),"",$B434+VLOOKUP($G434,Oppsett!$H$4:$J$7,3,FALSE)/24)</f>
        <v/>
      </c>
      <c r="P434" s="8" t="n"/>
      <c r="Q434" s="8" t="n"/>
      <c r="R434">
        <f>IF($B434="","",IF($P434&lt;&gt;"",IF($P434&lt;=$N434,"OK","Påbegynt for sent"),IF(NOW()&gt;$N434,"FORFALT","Innen frist")))</f>
        <v/>
      </c>
      <c r="S434">
        <f>IF($B434="","",IF($Q434&lt;&gt;"",IF($Q434&lt;=$O434,"OK","Løst for sent"),IF(NOW()&gt;$O434,"FORFALT","Innen frist")))</f>
        <v/>
      </c>
      <c r="T434" s="10">
        <f>IF(OR($B434="",$Q434=""),"",ROUND(($Q434-$B434)*24,1))</f>
        <v/>
      </c>
    </row>
    <row r="435">
      <c r="A435">
        <f>IF($B435="","","SAK-"&amp;TEXT(ROW()-1,"0000"))</f>
        <v/>
      </c>
      <c r="B435" s="8">
        <f>IF($C435&amp;$H435="","",IF($B435="",NOW(),$B435))</f>
        <v/>
      </c>
      <c r="J435">
        <f>IF($F435="","",IFERROR(VLOOKUP($F435,Oppsett!$E$4:$F$11,2,FALSE),"– ikke tildelt –"))</f>
        <v/>
      </c>
      <c r="L435">
        <f>IF($B435="","",IF($K435&lt;&gt;"",$K435,$J435))</f>
        <v/>
      </c>
      <c r="N435" s="8">
        <f>IF(OR($B435="",$G435=""),"",$B435+VLOOKUP($G435,Oppsett!$H$4:$J$7,2,FALSE)/24)</f>
        <v/>
      </c>
      <c r="O435" s="8">
        <f>IF(OR($B435="",$G435=""),"",$B435+VLOOKUP($G435,Oppsett!$H$4:$J$7,3,FALSE)/24)</f>
        <v/>
      </c>
      <c r="P435" s="8" t="n"/>
      <c r="Q435" s="8" t="n"/>
      <c r="R435">
        <f>IF($B435="","",IF($P435&lt;&gt;"",IF($P435&lt;=$N435,"OK","Påbegynt for sent"),IF(NOW()&gt;$N435,"FORFALT","Innen frist")))</f>
        <v/>
      </c>
      <c r="S435">
        <f>IF($B435="","",IF($Q435&lt;&gt;"",IF($Q435&lt;=$O435,"OK","Løst for sent"),IF(NOW()&gt;$O435,"FORFALT","Innen frist")))</f>
        <v/>
      </c>
      <c r="T435" s="10">
        <f>IF(OR($B435="",$Q435=""),"",ROUND(($Q435-$B435)*24,1))</f>
        <v/>
      </c>
    </row>
    <row r="436">
      <c r="A436">
        <f>IF($B436="","","SAK-"&amp;TEXT(ROW()-1,"0000"))</f>
        <v/>
      </c>
      <c r="B436" s="8">
        <f>IF($C436&amp;$H436="","",IF($B436="",NOW(),$B436))</f>
        <v/>
      </c>
      <c r="J436">
        <f>IF($F436="","",IFERROR(VLOOKUP($F436,Oppsett!$E$4:$F$11,2,FALSE),"– ikke tildelt –"))</f>
        <v/>
      </c>
      <c r="L436">
        <f>IF($B436="","",IF($K436&lt;&gt;"",$K436,$J436))</f>
        <v/>
      </c>
      <c r="N436" s="8">
        <f>IF(OR($B436="",$G436=""),"",$B436+VLOOKUP($G436,Oppsett!$H$4:$J$7,2,FALSE)/24)</f>
        <v/>
      </c>
      <c r="O436" s="8">
        <f>IF(OR($B436="",$G436=""),"",$B436+VLOOKUP($G436,Oppsett!$H$4:$J$7,3,FALSE)/24)</f>
        <v/>
      </c>
      <c r="P436" s="8" t="n"/>
      <c r="Q436" s="8" t="n"/>
      <c r="R436">
        <f>IF($B436="","",IF($P436&lt;&gt;"",IF($P436&lt;=$N436,"OK","Påbegynt for sent"),IF(NOW()&gt;$N436,"FORFALT","Innen frist")))</f>
        <v/>
      </c>
      <c r="S436">
        <f>IF($B436="","",IF($Q436&lt;&gt;"",IF($Q436&lt;=$O436,"OK","Løst for sent"),IF(NOW()&gt;$O436,"FORFALT","Innen frist")))</f>
        <v/>
      </c>
      <c r="T436" s="10">
        <f>IF(OR($B436="",$Q436=""),"",ROUND(($Q436-$B436)*24,1))</f>
        <v/>
      </c>
    </row>
    <row r="437">
      <c r="A437">
        <f>IF($B437="","","SAK-"&amp;TEXT(ROW()-1,"0000"))</f>
        <v/>
      </c>
      <c r="B437" s="8">
        <f>IF($C437&amp;$H437="","",IF($B437="",NOW(),$B437))</f>
        <v/>
      </c>
      <c r="J437">
        <f>IF($F437="","",IFERROR(VLOOKUP($F437,Oppsett!$E$4:$F$11,2,FALSE),"– ikke tildelt –"))</f>
        <v/>
      </c>
      <c r="L437">
        <f>IF($B437="","",IF($K437&lt;&gt;"",$K437,$J437))</f>
        <v/>
      </c>
      <c r="N437" s="8">
        <f>IF(OR($B437="",$G437=""),"",$B437+VLOOKUP($G437,Oppsett!$H$4:$J$7,2,FALSE)/24)</f>
        <v/>
      </c>
      <c r="O437" s="8">
        <f>IF(OR($B437="",$G437=""),"",$B437+VLOOKUP($G437,Oppsett!$H$4:$J$7,3,FALSE)/24)</f>
        <v/>
      </c>
      <c r="P437" s="8" t="n"/>
      <c r="Q437" s="8" t="n"/>
      <c r="R437">
        <f>IF($B437="","",IF($P437&lt;&gt;"",IF($P437&lt;=$N437,"OK","Påbegynt for sent"),IF(NOW()&gt;$N437,"FORFALT","Innen frist")))</f>
        <v/>
      </c>
      <c r="S437">
        <f>IF($B437="","",IF($Q437&lt;&gt;"",IF($Q437&lt;=$O437,"OK","Løst for sent"),IF(NOW()&gt;$O437,"FORFALT","Innen frist")))</f>
        <v/>
      </c>
      <c r="T437" s="10">
        <f>IF(OR($B437="",$Q437=""),"",ROUND(($Q437-$B437)*24,1))</f>
        <v/>
      </c>
    </row>
    <row r="438">
      <c r="A438">
        <f>IF($B438="","","SAK-"&amp;TEXT(ROW()-1,"0000"))</f>
        <v/>
      </c>
      <c r="B438" s="8">
        <f>IF($C438&amp;$H438="","",IF($B438="",NOW(),$B438))</f>
        <v/>
      </c>
      <c r="J438">
        <f>IF($F438="","",IFERROR(VLOOKUP($F438,Oppsett!$E$4:$F$11,2,FALSE),"– ikke tildelt –"))</f>
        <v/>
      </c>
      <c r="L438">
        <f>IF($B438="","",IF($K438&lt;&gt;"",$K438,$J438))</f>
        <v/>
      </c>
      <c r="N438" s="8">
        <f>IF(OR($B438="",$G438=""),"",$B438+VLOOKUP($G438,Oppsett!$H$4:$J$7,2,FALSE)/24)</f>
        <v/>
      </c>
      <c r="O438" s="8">
        <f>IF(OR($B438="",$G438=""),"",$B438+VLOOKUP($G438,Oppsett!$H$4:$J$7,3,FALSE)/24)</f>
        <v/>
      </c>
      <c r="P438" s="8" t="n"/>
      <c r="Q438" s="8" t="n"/>
      <c r="R438">
        <f>IF($B438="","",IF($P438&lt;&gt;"",IF($P438&lt;=$N438,"OK","Påbegynt for sent"),IF(NOW()&gt;$N438,"FORFALT","Innen frist")))</f>
        <v/>
      </c>
      <c r="S438">
        <f>IF($B438="","",IF($Q438&lt;&gt;"",IF($Q438&lt;=$O438,"OK","Løst for sent"),IF(NOW()&gt;$O438,"FORFALT","Innen frist")))</f>
        <v/>
      </c>
      <c r="T438" s="10">
        <f>IF(OR($B438="",$Q438=""),"",ROUND(($Q438-$B438)*24,1))</f>
        <v/>
      </c>
    </row>
    <row r="439">
      <c r="A439">
        <f>IF($B439="","","SAK-"&amp;TEXT(ROW()-1,"0000"))</f>
        <v/>
      </c>
      <c r="B439" s="8">
        <f>IF($C439&amp;$H439="","",IF($B439="",NOW(),$B439))</f>
        <v/>
      </c>
      <c r="J439">
        <f>IF($F439="","",IFERROR(VLOOKUP($F439,Oppsett!$E$4:$F$11,2,FALSE),"– ikke tildelt –"))</f>
        <v/>
      </c>
      <c r="L439">
        <f>IF($B439="","",IF($K439&lt;&gt;"",$K439,$J439))</f>
        <v/>
      </c>
      <c r="N439" s="8">
        <f>IF(OR($B439="",$G439=""),"",$B439+VLOOKUP($G439,Oppsett!$H$4:$J$7,2,FALSE)/24)</f>
        <v/>
      </c>
      <c r="O439" s="8">
        <f>IF(OR($B439="",$G439=""),"",$B439+VLOOKUP($G439,Oppsett!$H$4:$J$7,3,FALSE)/24)</f>
        <v/>
      </c>
      <c r="P439" s="8" t="n"/>
      <c r="Q439" s="8" t="n"/>
      <c r="R439">
        <f>IF($B439="","",IF($P439&lt;&gt;"",IF($P439&lt;=$N439,"OK","Påbegynt for sent"),IF(NOW()&gt;$N439,"FORFALT","Innen frist")))</f>
        <v/>
      </c>
      <c r="S439">
        <f>IF($B439="","",IF($Q439&lt;&gt;"",IF($Q439&lt;=$O439,"OK","Løst for sent"),IF(NOW()&gt;$O439,"FORFALT","Innen frist")))</f>
        <v/>
      </c>
      <c r="T439" s="10">
        <f>IF(OR($B439="",$Q439=""),"",ROUND(($Q439-$B439)*24,1))</f>
        <v/>
      </c>
    </row>
    <row r="440">
      <c r="A440">
        <f>IF($B440="","","SAK-"&amp;TEXT(ROW()-1,"0000"))</f>
        <v/>
      </c>
      <c r="B440" s="8">
        <f>IF($C440&amp;$H440="","",IF($B440="",NOW(),$B440))</f>
        <v/>
      </c>
      <c r="J440">
        <f>IF($F440="","",IFERROR(VLOOKUP($F440,Oppsett!$E$4:$F$11,2,FALSE),"– ikke tildelt –"))</f>
        <v/>
      </c>
      <c r="L440">
        <f>IF($B440="","",IF($K440&lt;&gt;"",$K440,$J440))</f>
        <v/>
      </c>
      <c r="N440" s="8">
        <f>IF(OR($B440="",$G440=""),"",$B440+VLOOKUP($G440,Oppsett!$H$4:$J$7,2,FALSE)/24)</f>
        <v/>
      </c>
      <c r="O440" s="8">
        <f>IF(OR($B440="",$G440=""),"",$B440+VLOOKUP($G440,Oppsett!$H$4:$J$7,3,FALSE)/24)</f>
        <v/>
      </c>
      <c r="P440" s="8" t="n"/>
      <c r="Q440" s="8" t="n"/>
      <c r="R440">
        <f>IF($B440="","",IF($P440&lt;&gt;"",IF($P440&lt;=$N440,"OK","Påbegynt for sent"),IF(NOW()&gt;$N440,"FORFALT","Innen frist")))</f>
        <v/>
      </c>
      <c r="S440">
        <f>IF($B440="","",IF($Q440&lt;&gt;"",IF($Q440&lt;=$O440,"OK","Løst for sent"),IF(NOW()&gt;$O440,"FORFALT","Innen frist")))</f>
        <v/>
      </c>
      <c r="T440" s="10">
        <f>IF(OR($B440="",$Q440=""),"",ROUND(($Q440-$B440)*24,1))</f>
        <v/>
      </c>
    </row>
    <row r="441">
      <c r="A441">
        <f>IF($B441="","","SAK-"&amp;TEXT(ROW()-1,"0000"))</f>
        <v/>
      </c>
      <c r="B441" s="8">
        <f>IF($C441&amp;$H441="","",IF($B441="",NOW(),$B441))</f>
        <v/>
      </c>
      <c r="J441">
        <f>IF($F441="","",IFERROR(VLOOKUP($F441,Oppsett!$E$4:$F$11,2,FALSE),"– ikke tildelt –"))</f>
        <v/>
      </c>
      <c r="L441">
        <f>IF($B441="","",IF($K441&lt;&gt;"",$K441,$J441))</f>
        <v/>
      </c>
      <c r="N441" s="8">
        <f>IF(OR($B441="",$G441=""),"",$B441+VLOOKUP($G441,Oppsett!$H$4:$J$7,2,FALSE)/24)</f>
        <v/>
      </c>
      <c r="O441" s="8">
        <f>IF(OR($B441="",$G441=""),"",$B441+VLOOKUP($G441,Oppsett!$H$4:$J$7,3,FALSE)/24)</f>
        <v/>
      </c>
      <c r="P441" s="8" t="n"/>
      <c r="Q441" s="8" t="n"/>
      <c r="R441">
        <f>IF($B441="","",IF($P441&lt;&gt;"",IF($P441&lt;=$N441,"OK","Påbegynt for sent"),IF(NOW()&gt;$N441,"FORFALT","Innen frist")))</f>
        <v/>
      </c>
      <c r="S441">
        <f>IF($B441="","",IF($Q441&lt;&gt;"",IF($Q441&lt;=$O441,"OK","Løst for sent"),IF(NOW()&gt;$O441,"FORFALT","Innen frist")))</f>
        <v/>
      </c>
      <c r="T441" s="10">
        <f>IF(OR($B441="",$Q441=""),"",ROUND(($Q441-$B441)*24,1))</f>
        <v/>
      </c>
    </row>
    <row r="442">
      <c r="A442">
        <f>IF($B442="","","SAK-"&amp;TEXT(ROW()-1,"0000"))</f>
        <v/>
      </c>
      <c r="B442" s="8">
        <f>IF($C442&amp;$H442="","",IF($B442="",NOW(),$B442))</f>
        <v/>
      </c>
      <c r="J442">
        <f>IF($F442="","",IFERROR(VLOOKUP($F442,Oppsett!$E$4:$F$11,2,FALSE),"– ikke tildelt –"))</f>
        <v/>
      </c>
      <c r="L442">
        <f>IF($B442="","",IF($K442&lt;&gt;"",$K442,$J442))</f>
        <v/>
      </c>
      <c r="N442" s="8">
        <f>IF(OR($B442="",$G442=""),"",$B442+VLOOKUP($G442,Oppsett!$H$4:$J$7,2,FALSE)/24)</f>
        <v/>
      </c>
      <c r="O442" s="8">
        <f>IF(OR($B442="",$G442=""),"",$B442+VLOOKUP($G442,Oppsett!$H$4:$J$7,3,FALSE)/24)</f>
        <v/>
      </c>
      <c r="P442" s="8" t="n"/>
      <c r="Q442" s="8" t="n"/>
      <c r="R442">
        <f>IF($B442="","",IF($P442&lt;&gt;"",IF($P442&lt;=$N442,"OK","Påbegynt for sent"),IF(NOW()&gt;$N442,"FORFALT","Innen frist")))</f>
        <v/>
      </c>
      <c r="S442">
        <f>IF($B442="","",IF($Q442&lt;&gt;"",IF($Q442&lt;=$O442,"OK","Løst for sent"),IF(NOW()&gt;$O442,"FORFALT","Innen frist")))</f>
        <v/>
      </c>
      <c r="T442" s="10">
        <f>IF(OR($B442="",$Q442=""),"",ROUND(($Q442-$B442)*24,1))</f>
        <v/>
      </c>
    </row>
    <row r="443">
      <c r="A443">
        <f>IF($B443="","","SAK-"&amp;TEXT(ROW()-1,"0000"))</f>
        <v/>
      </c>
      <c r="B443" s="8">
        <f>IF($C443&amp;$H443="","",IF($B443="",NOW(),$B443))</f>
        <v/>
      </c>
      <c r="J443">
        <f>IF($F443="","",IFERROR(VLOOKUP($F443,Oppsett!$E$4:$F$11,2,FALSE),"– ikke tildelt –"))</f>
        <v/>
      </c>
      <c r="L443">
        <f>IF($B443="","",IF($K443&lt;&gt;"",$K443,$J443))</f>
        <v/>
      </c>
      <c r="N443" s="8">
        <f>IF(OR($B443="",$G443=""),"",$B443+VLOOKUP($G443,Oppsett!$H$4:$J$7,2,FALSE)/24)</f>
        <v/>
      </c>
      <c r="O443" s="8">
        <f>IF(OR($B443="",$G443=""),"",$B443+VLOOKUP($G443,Oppsett!$H$4:$J$7,3,FALSE)/24)</f>
        <v/>
      </c>
      <c r="P443" s="8" t="n"/>
      <c r="Q443" s="8" t="n"/>
      <c r="R443">
        <f>IF($B443="","",IF($P443&lt;&gt;"",IF($P443&lt;=$N443,"OK","Påbegynt for sent"),IF(NOW()&gt;$N443,"FORFALT","Innen frist")))</f>
        <v/>
      </c>
      <c r="S443">
        <f>IF($B443="","",IF($Q443&lt;&gt;"",IF($Q443&lt;=$O443,"OK","Løst for sent"),IF(NOW()&gt;$O443,"FORFALT","Innen frist")))</f>
        <v/>
      </c>
      <c r="T443" s="10">
        <f>IF(OR($B443="",$Q443=""),"",ROUND(($Q443-$B443)*24,1))</f>
        <v/>
      </c>
    </row>
    <row r="444">
      <c r="A444">
        <f>IF($B444="","","SAK-"&amp;TEXT(ROW()-1,"0000"))</f>
        <v/>
      </c>
      <c r="B444" s="8">
        <f>IF($C444&amp;$H444="","",IF($B444="",NOW(),$B444))</f>
        <v/>
      </c>
      <c r="J444">
        <f>IF($F444="","",IFERROR(VLOOKUP($F444,Oppsett!$E$4:$F$11,2,FALSE),"– ikke tildelt –"))</f>
        <v/>
      </c>
      <c r="L444">
        <f>IF($B444="","",IF($K444&lt;&gt;"",$K444,$J444))</f>
        <v/>
      </c>
      <c r="N444" s="8">
        <f>IF(OR($B444="",$G444=""),"",$B444+VLOOKUP($G444,Oppsett!$H$4:$J$7,2,FALSE)/24)</f>
        <v/>
      </c>
      <c r="O444" s="8">
        <f>IF(OR($B444="",$G444=""),"",$B444+VLOOKUP($G444,Oppsett!$H$4:$J$7,3,FALSE)/24)</f>
        <v/>
      </c>
      <c r="P444" s="8" t="n"/>
      <c r="Q444" s="8" t="n"/>
      <c r="R444">
        <f>IF($B444="","",IF($P444&lt;&gt;"",IF($P444&lt;=$N444,"OK","Påbegynt for sent"),IF(NOW()&gt;$N444,"FORFALT","Innen frist")))</f>
        <v/>
      </c>
      <c r="S444">
        <f>IF($B444="","",IF($Q444&lt;&gt;"",IF($Q444&lt;=$O444,"OK","Løst for sent"),IF(NOW()&gt;$O444,"FORFALT","Innen frist")))</f>
        <v/>
      </c>
      <c r="T444" s="10">
        <f>IF(OR($B444="",$Q444=""),"",ROUND(($Q444-$B444)*24,1))</f>
        <v/>
      </c>
    </row>
    <row r="445">
      <c r="A445">
        <f>IF($B445="","","SAK-"&amp;TEXT(ROW()-1,"0000"))</f>
        <v/>
      </c>
      <c r="B445" s="8">
        <f>IF($C445&amp;$H445="","",IF($B445="",NOW(),$B445))</f>
        <v/>
      </c>
      <c r="J445">
        <f>IF($F445="","",IFERROR(VLOOKUP($F445,Oppsett!$E$4:$F$11,2,FALSE),"– ikke tildelt –"))</f>
        <v/>
      </c>
      <c r="L445">
        <f>IF($B445="","",IF($K445&lt;&gt;"",$K445,$J445))</f>
        <v/>
      </c>
      <c r="N445" s="8">
        <f>IF(OR($B445="",$G445=""),"",$B445+VLOOKUP($G445,Oppsett!$H$4:$J$7,2,FALSE)/24)</f>
        <v/>
      </c>
      <c r="O445" s="8">
        <f>IF(OR($B445="",$G445=""),"",$B445+VLOOKUP($G445,Oppsett!$H$4:$J$7,3,FALSE)/24)</f>
        <v/>
      </c>
      <c r="P445" s="8" t="n"/>
      <c r="Q445" s="8" t="n"/>
      <c r="R445">
        <f>IF($B445="","",IF($P445&lt;&gt;"",IF($P445&lt;=$N445,"OK","Påbegynt for sent"),IF(NOW()&gt;$N445,"FORFALT","Innen frist")))</f>
        <v/>
      </c>
      <c r="S445">
        <f>IF($B445="","",IF($Q445&lt;&gt;"",IF($Q445&lt;=$O445,"OK","Løst for sent"),IF(NOW()&gt;$O445,"FORFALT","Innen frist")))</f>
        <v/>
      </c>
      <c r="T445" s="10">
        <f>IF(OR($B445="",$Q445=""),"",ROUND(($Q445-$B445)*24,1))</f>
        <v/>
      </c>
    </row>
    <row r="446">
      <c r="A446">
        <f>IF($B446="","","SAK-"&amp;TEXT(ROW()-1,"0000"))</f>
        <v/>
      </c>
      <c r="B446" s="8">
        <f>IF($C446&amp;$H446="","",IF($B446="",NOW(),$B446))</f>
        <v/>
      </c>
      <c r="J446">
        <f>IF($F446="","",IFERROR(VLOOKUP($F446,Oppsett!$E$4:$F$11,2,FALSE),"– ikke tildelt –"))</f>
        <v/>
      </c>
      <c r="L446">
        <f>IF($B446="","",IF($K446&lt;&gt;"",$K446,$J446))</f>
        <v/>
      </c>
      <c r="N446" s="8">
        <f>IF(OR($B446="",$G446=""),"",$B446+VLOOKUP($G446,Oppsett!$H$4:$J$7,2,FALSE)/24)</f>
        <v/>
      </c>
      <c r="O446" s="8">
        <f>IF(OR($B446="",$G446=""),"",$B446+VLOOKUP($G446,Oppsett!$H$4:$J$7,3,FALSE)/24)</f>
        <v/>
      </c>
      <c r="P446" s="8" t="n"/>
      <c r="Q446" s="8" t="n"/>
      <c r="R446">
        <f>IF($B446="","",IF($P446&lt;&gt;"",IF($P446&lt;=$N446,"OK","Påbegynt for sent"),IF(NOW()&gt;$N446,"FORFALT","Innen frist")))</f>
        <v/>
      </c>
      <c r="S446">
        <f>IF($B446="","",IF($Q446&lt;&gt;"",IF($Q446&lt;=$O446,"OK","Løst for sent"),IF(NOW()&gt;$O446,"FORFALT","Innen frist")))</f>
        <v/>
      </c>
      <c r="T446" s="10">
        <f>IF(OR($B446="",$Q446=""),"",ROUND(($Q446-$B446)*24,1))</f>
        <v/>
      </c>
    </row>
    <row r="447">
      <c r="A447">
        <f>IF($B447="","","SAK-"&amp;TEXT(ROW()-1,"0000"))</f>
        <v/>
      </c>
      <c r="B447" s="8">
        <f>IF($C447&amp;$H447="","",IF($B447="",NOW(),$B447))</f>
        <v/>
      </c>
      <c r="J447">
        <f>IF($F447="","",IFERROR(VLOOKUP($F447,Oppsett!$E$4:$F$11,2,FALSE),"– ikke tildelt –"))</f>
        <v/>
      </c>
      <c r="L447">
        <f>IF($B447="","",IF($K447&lt;&gt;"",$K447,$J447))</f>
        <v/>
      </c>
      <c r="N447" s="8">
        <f>IF(OR($B447="",$G447=""),"",$B447+VLOOKUP($G447,Oppsett!$H$4:$J$7,2,FALSE)/24)</f>
        <v/>
      </c>
      <c r="O447" s="8">
        <f>IF(OR($B447="",$G447=""),"",$B447+VLOOKUP($G447,Oppsett!$H$4:$J$7,3,FALSE)/24)</f>
        <v/>
      </c>
      <c r="P447" s="8" t="n"/>
      <c r="Q447" s="8" t="n"/>
      <c r="R447">
        <f>IF($B447="","",IF($P447&lt;&gt;"",IF($P447&lt;=$N447,"OK","Påbegynt for sent"),IF(NOW()&gt;$N447,"FORFALT","Innen frist")))</f>
        <v/>
      </c>
      <c r="S447">
        <f>IF($B447="","",IF($Q447&lt;&gt;"",IF($Q447&lt;=$O447,"OK","Løst for sent"),IF(NOW()&gt;$O447,"FORFALT","Innen frist")))</f>
        <v/>
      </c>
      <c r="T447" s="10">
        <f>IF(OR($B447="",$Q447=""),"",ROUND(($Q447-$B447)*24,1))</f>
        <v/>
      </c>
    </row>
    <row r="448">
      <c r="A448">
        <f>IF($B448="","","SAK-"&amp;TEXT(ROW()-1,"0000"))</f>
        <v/>
      </c>
      <c r="B448" s="8">
        <f>IF($C448&amp;$H448="","",IF($B448="",NOW(),$B448))</f>
        <v/>
      </c>
      <c r="J448">
        <f>IF($F448="","",IFERROR(VLOOKUP($F448,Oppsett!$E$4:$F$11,2,FALSE),"– ikke tildelt –"))</f>
        <v/>
      </c>
      <c r="L448">
        <f>IF($B448="","",IF($K448&lt;&gt;"",$K448,$J448))</f>
        <v/>
      </c>
      <c r="N448" s="8">
        <f>IF(OR($B448="",$G448=""),"",$B448+VLOOKUP($G448,Oppsett!$H$4:$J$7,2,FALSE)/24)</f>
        <v/>
      </c>
      <c r="O448" s="8">
        <f>IF(OR($B448="",$G448=""),"",$B448+VLOOKUP($G448,Oppsett!$H$4:$J$7,3,FALSE)/24)</f>
        <v/>
      </c>
      <c r="P448" s="8" t="n"/>
      <c r="Q448" s="8" t="n"/>
      <c r="R448">
        <f>IF($B448="","",IF($P448&lt;&gt;"",IF($P448&lt;=$N448,"OK","Påbegynt for sent"),IF(NOW()&gt;$N448,"FORFALT","Innen frist")))</f>
        <v/>
      </c>
      <c r="S448">
        <f>IF($B448="","",IF($Q448&lt;&gt;"",IF($Q448&lt;=$O448,"OK","Løst for sent"),IF(NOW()&gt;$O448,"FORFALT","Innen frist")))</f>
        <v/>
      </c>
      <c r="T448" s="10">
        <f>IF(OR($B448="",$Q448=""),"",ROUND(($Q448-$B448)*24,1))</f>
        <v/>
      </c>
    </row>
    <row r="449">
      <c r="A449">
        <f>IF($B449="","","SAK-"&amp;TEXT(ROW()-1,"0000"))</f>
        <v/>
      </c>
      <c r="B449" s="8">
        <f>IF($C449&amp;$H449="","",IF($B449="",NOW(),$B449))</f>
        <v/>
      </c>
      <c r="J449">
        <f>IF($F449="","",IFERROR(VLOOKUP($F449,Oppsett!$E$4:$F$11,2,FALSE),"– ikke tildelt –"))</f>
        <v/>
      </c>
      <c r="L449">
        <f>IF($B449="","",IF($K449&lt;&gt;"",$K449,$J449))</f>
        <v/>
      </c>
      <c r="N449" s="8">
        <f>IF(OR($B449="",$G449=""),"",$B449+VLOOKUP($G449,Oppsett!$H$4:$J$7,2,FALSE)/24)</f>
        <v/>
      </c>
      <c r="O449" s="8">
        <f>IF(OR($B449="",$G449=""),"",$B449+VLOOKUP($G449,Oppsett!$H$4:$J$7,3,FALSE)/24)</f>
        <v/>
      </c>
      <c r="P449" s="8" t="n"/>
      <c r="Q449" s="8" t="n"/>
      <c r="R449">
        <f>IF($B449="","",IF($P449&lt;&gt;"",IF($P449&lt;=$N449,"OK","Påbegynt for sent"),IF(NOW()&gt;$N449,"FORFALT","Innen frist")))</f>
        <v/>
      </c>
      <c r="S449">
        <f>IF($B449="","",IF($Q449&lt;&gt;"",IF($Q449&lt;=$O449,"OK","Løst for sent"),IF(NOW()&gt;$O449,"FORFALT","Innen frist")))</f>
        <v/>
      </c>
      <c r="T449" s="10">
        <f>IF(OR($B449="",$Q449=""),"",ROUND(($Q449-$B449)*24,1))</f>
        <v/>
      </c>
    </row>
    <row r="450">
      <c r="A450">
        <f>IF($B450="","","SAK-"&amp;TEXT(ROW()-1,"0000"))</f>
        <v/>
      </c>
      <c r="B450" s="8">
        <f>IF($C450&amp;$H450="","",IF($B450="",NOW(),$B450))</f>
        <v/>
      </c>
      <c r="J450">
        <f>IF($F450="","",IFERROR(VLOOKUP($F450,Oppsett!$E$4:$F$11,2,FALSE),"– ikke tildelt –"))</f>
        <v/>
      </c>
      <c r="L450">
        <f>IF($B450="","",IF($K450&lt;&gt;"",$K450,$J450))</f>
        <v/>
      </c>
      <c r="N450" s="8">
        <f>IF(OR($B450="",$G450=""),"",$B450+VLOOKUP($G450,Oppsett!$H$4:$J$7,2,FALSE)/24)</f>
        <v/>
      </c>
      <c r="O450" s="8">
        <f>IF(OR($B450="",$G450=""),"",$B450+VLOOKUP($G450,Oppsett!$H$4:$J$7,3,FALSE)/24)</f>
        <v/>
      </c>
      <c r="P450" s="8" t="n"/>
      <c r="Q450" s="8" t="n"/>
      <c r="R450">
        <f>IF($B450="","",IF($P450&lt;&gt;"",IF($P450&lt;=$N450,"OK","Påbegynt for sent"),IF(NOW()&gt;$N450,"FORFALT","Innen frist")))</f>
        <v/>
      </c>
      <c r="S450">
        <f>IF($B450="","",IF($Q450&lt;&gt;"",IF($Q450&lt;=$O450,"OK","Løst for sent"),IF(NOW()&gt;$O450,"FORFALT","Innen frist")))</f>
        <v/>
      </c>
      <c r="T450" s="10">
        <f>IF(OR($B450="",$Q450=""),"",ROUND(($Q450-$B450)*24,1))</f>
        <v/>
      </c>
    </row>
    <row r="451">
      <c r="A451">
        <f>IF($B451="","","SAK-"&amp;TEXT(ROW()-1,"0000"))</f>
        <v/>
      </c>
      <c r="B451" s="8">
        <f>IF($C451&amp;$H451="","",IF($B451="",NOW(),$B451))</f>
        <v/>
      </c>
      <c r="J451">
        <f>IF($F451="","",IFERROR(VLOOKUP($F451,Oppsett!$E$4:$F$11,2,FALSE),"– ikke tildelt –"))</f>
        <v/>
      </c>
      <c r="L451">
        <f>IF($B451="","",IF($K451&lt;&gt;"",$K451,$J451))</f>
        <v/>
      </c>
      <c r="N451" s="8">
        <f>IF(OR($B451="",$G451=""),"",$B451+VLOOKUP($G451,Oppsett!$H$4:$J$7,2,FALSE)/24)</f>
        <v/>
      </c>
      <c r="O451" s="8">
        <f>IF(OR($B451="",$G451=""),"",$B451+VLOOKUP($G451,Oppsett!$H$4:$J$7,3,FALSE)/24)</f>
        <v/>
      </c>
      <c r="P451" s="8" t="n"/>
      <c r="Q451" s="8" t="n"/>
      <c r="R451">
        <f>IF($B451="","",IF($P451&lt;&gt;"",IF($P451&lt;=$N451,"OK","Påbegynt for sent"),IF(NOW()&gt;$N451,"FORFALT","Innen frist")))</f>
        <v/>
      </c>
      <c r="S451">
        <f>IF($B451="","",IF($Q451&lt;&gt;"",IF($Q451&lt;=$O451,"OK","Løst for sent"),IF(NOW()&gt;$O451,"FORFALT","Innen frist")))</f>
        <v/>
      </c>
      <c r="T451" s="10">
        <f>IF(OR($B451="",$Q451=""),"",ROUND(($Q451-$B451)*24,1))</f>
        <v/>
      </c>
    </row>
    <row r="452">
      <c r="A452">
        <f>IF($B452="","","SAK-"&amp;TEXT(ROW()-1,"0000"))</f>
        <v/>
      </c>
      <c r="B452" s="8">
        <f>IF($C452&amp;$H452="","",IF($B452="",NOW(),$B452))</f>
        <v/>
      </c>
      <c r="J452">
        <f>IF($F452="","",IFERROR(VLOOKUP($F452,Oppsett!$E$4:$F$11,2,FALSE),"– ikke tildelt –"))</f>
        <v/>
      </c>
      <c r="L452">
        <f>IF($B452="","",IF($K452&lt;&gt;"",$K452,$J452))</f>
        <v/>
      </c>
      <c r="N452" s="8">
        <f>IF(OR($B452="",$G452=""),"",$B452+VLOOKUP($G452,Oppsett!$H$4:$J$7,2,FALSE)/24)</f>
        <v/>
      </c>
      <c r="O452" s="8">
        <f>IF(OR($B452="",$G452=""),"",$B452+VLOOKUP($G452,Oppsett!$H$4:$J$7,3,FALSE)/24)</f>
        <v/>
      </c>
      <c r="P452" s="8" t="n"/>
      <c r="Q452" s="8" t="n"/>
      <c r="R452">
        <f>IF($B452="","",IF($P452&lt;&gt;"",IF($P452&lt;=$N452,"OK","Påbegynt for sent"),IF(NOW()&gt;$N452,"FORFALT","Innen frist")))</f>
        <v/>
      </c>
      <c r="S452">
        <f>IF($B452="","",IF($Q452&lt;&gt;"",IF($Q452&lt;=$O452,"OK","Løst for sent"),IF(NOW()&gt;$O452,"FORFALT","Innen frist")))</f>
        <v/>
      </c>
      <c r="T452" s="10">
        <f>IF(OR($B452="",$Q452=""),"",ROUND(($Q452-$B452)*24,1))</f>
        <v/>
      </c>
    </row>
    <row r="453">
      <c r="A453">
        <f>IF($B453="","","SAK-"&amp;TEXT(ROW()-1,"0000"))</f>
        <v/>
      </c>
      <c r="B453" s="8">
        <f>IF($C453&amp;$H453="","",IF($B453="",NOW(),$B453))</f>
        <v/>
      </c>
      <c r="J453">
        <f>IF($F453="","",IFERROR(VLOOKUP($F453,Oppsett!$E$4:$F$11,2,FALSE),"– ikke tildelt –"))</f>
        <v/>
      </c>
      <c r="L453">
        <f>IF($B453="","",IF($K453&lt;&gt;"",$K453,$J453))</f>
        <v/>
      </c>
      <c r="N453" s="8">
        <f>IF(OR($B453="",$G453=""),"",$B453+VLOOKUP($G453,Oppsett!$H$4:$J$7,2,FALSE)/24)</f>
        <v/>
      </c>
      <c r="O453" s="8">
        <f>IF(OR($B453="",$G453=""),"",$B453+VLOOKUP($G453,Oppsett!$H$4:$J$7,3,FALSE)/24)</f>
        <v/>
      </c>
      <c r="P453" s="8" t="n"/>
      <c r="Q453" s="8" t="n"/>
      <c r="R453">
        <f>IF($B453="","",IF($P453&lt;&gt;"",IF($P453&lt;=$N453,"OK","Påbegynt for sent"),IF(NOW()&gt;$N453,"FORFALT","Innen frist")))</f>
        <v/>
      </c>
      <c r="S453">
        <f>IF($B453="","",IF($Q453&lt;&gt;"",IF($Q453&lt;=$O453,"OK","Løst for sent"),IF(NOW()&gt;$O453,"FORFALT","Innen frist")))</f>
        <v/>
      </c>
      <c r="T453" s="10">
        <f>IF(OR($B453="",$Q453=""),"",ROUND(($Q453-$B453)*24,1))</f>
        <v/>
      </c>
    </row>
    <row r="454">
      <c r="A454">
        <f>IF($B454="","","SAK-"&amp;TEXT(ROW()-1,"0000"))</f>
        <v/>
      </c>
      <c r="B454" s="8">
        <f>IF($C454&amp;$H454="","",IF($B454="",NOW(),$B454))</f>
        <v/>
      </c>
      <c r="J454">
        <f>IF($F454="","",IFERROR(VLOOKUP($F454,Oppsett!$E$4:$F$11,2,FALSE),"– ikke tildelt –"))</f>
        <v/>
      </c>
      <c r="L454">
        <f>IF($B454="","",IF($K454&lt;&gt;"",$K454,$J454))</f>
        <v/>
      </c>
      <c r="N454" s="8">
        <f>IF(OR($B454="",$G454=""),"",$B454+VLOOKUP($G454,Oppsett!$H$4:$J$7,2,FALSE)/24)</f>
        <v/>
      </c>
      <c r="O454" s="8">
        <f>IF(OR($B454="",$G454=""),"",$B454+VLOOKUP($G454,Oppsett!$H$4:$J$7,3,FALSE)/24)</f>
        <v/>
      </c>
      <c r="P454" s="8" t="n"/>
      <c r="Q454" s="8" t="n"/>
      <c r="R454">
        <f>IF($B454="","",IF($P454&lt;&gt;"",IF($P454&lt;=$N454,"OK","Påbegynt for sent"),IF(NOW()&gt;$N454,"FORFALT","Innen frist")))</f>
        <v/>
      </c>
      <c r="S454">
        <f>IF($B454="","",IF($Q454&lt;&gt;"",IF($Q454&lt;=$O454,"OK","Løst for sent"),IF(NOW()&gt;$O454,"FORFALT","Innen frist")))</f>
        <v/>
      </c>
      <c r="T454" s="10">
        <f>IF(OR($B454="",$Q454=""),"",ROUND(($Q454-$B454)*24,1))</f>
        <v/>
      </c>
    </row>
    <row r="455">
      <c r="A455">
        <f>IF($B455="","","SAK-"&amp;TEXT(ROW()-1,"0000"))</f>
        <v/>
      </c>
      <c r="B455" s="8">
        <f>IF($C455&amp;$H455="","",IF($B455="",NOW(),$B455))</f>
        <v/>
      </c>
      <c r="J455">
        <f>IF($F455="","",IFERROR(VLOOKUP($F455,Oppsett!$E$4:$F$11,2,FALSE),"– ikke tildelt –"))</f>
        <v/>
      </c>
      <c r="L455">
        <f>IF($B455="","",IF($K455&lt;&gt;"",$K455,$J455))</f>
        <v/>
      </c>
      <c r="N455" s="8">
        <f>IF(OR($B455="",$G455=""),"",$B455+VLOOKUP($G455,Oppsett!$H$4:$J$7,2,FALSE)/24)</f>
        <v/>
      </c>
      <c r="O455" s="8">
        <f>IF(OR($B455="",$G455=""),"",$B455+VLOOKUP($G455,Oppsett!$H$4:$J$7,3,FALSE)/24)</f>
        <v/>
      </c>
      <c r="P455" s="8" t="n"/>
      <c r="Q455" s="8" t="n"/>
      <c r="R455">
        <f>IF($B455="","",IF($P455&lt;&gt;"",IF($P455&lt;=$N455,"OK","Påbegynt for sent"),IF(NOW()&gt;$N455,"FORFALT","Innen frist")))</f>
        <v/>
      </c>
      <c r="S455">
        <f>IF($B455="","",IF($Q455&lt;&gt;"",IF($Q455&lt;=$O455,"OK","Løst for sent"),IF(NOW()&gt;$O455,"FORFALT","Innen frist")))</f>
        <v/>
      </c>
      <c r="T455" s="10">
        <f>IF(OR($B455="",$Q455=""),"",ROUND(($Q455-$B455)*24,1))</f>
        <v/>
      </c>
    </row>
    <row r="456">
      <c r="A456">
        <f>IF($B456="","","SAK-"&amp;TEXT(ROW()-1,"0000"))</f>
        <v/>
      </c>
      <c r="B456" s="8">
        <f>IF($C456&amp;$H456="","",IF($B456="",NOW(),$B456))</f>
        <v/>
      </c>
      <c r="J456">
        <f>IF($F456="","",IFERROR(VLOOKUP($F456,Oppsett!$E$4:$F$11,2,FALSE),"– ikke tildelt –"))</f>
        <v/>
      </c>
      <c r="L456">
        <f>IF($B456="","",IF($K456&lt;&gt;"",$K456,$J456))</f>
        <v/>
      </c>
      <c r="N456" s="8">
        <f>IF(OR($B456="",$G456=""),"",$B456+VLOOKUP($G456,Oppsett!$H$4:$J$7,2,FALSE)/24)</f>
        <v/>
      </c>
      <c r="O456" s="8">
        <f>IF(OR($B456="",$G456=""),"",$B456+VLOOKUP($G456,Oppsett!$H$4:$J$7,3,FALSE)/24)</f>
        <v/>
      </c>
      <c r="P456" s="8" t="n"/>
      <c r="Q456" s="8" t="n"/>
      <c r="R456">
        <f>IF($B456="","",IF($P456&lt;&gt;"",IF($P456&lt;=$N456,"OK","Påbegynt for sent"),IF(NOW()&gt;$N456,"FORFALT","Innen frist")))</f>
        <v/>
      </c>
      <c r="S456">
        <f>IF($B456="","",IF($Q456&lt;&gt;"",IF($Q456&lt;=$O456,"OK","Løst for sent"),IF(NOW()&gt;$O456,"FORFALT","Innen frist")))</f>
        <v/>
      </c>
      <c r="T456" s="10">
        <f>IF(OR($B456="",$Q456=""),"",ROUND(($Q456-$B456)*24,1))</f>
        <v/>
      </c>
    </row>
    <row r="457">
      <c r="A457">
        <f>IF($B457="","","SAK-"&amp;TEXT(ROW()-1,"0000"))</f>
        <v/>
      </c>
      <c r="B457" s="8">
        <f>IF($C457&amp;$H457="","",IF($B457="",NOW(),$B457))</f>
        <v/>
      </c>
      <c r="J457">
        <f>IF($F457="","",IFERROR(VLOOKUP($F457,Oppsett!$E$4:$F$11,2,FALSE),"– ikke tildelt –"))</f>
        <v/>
      </c>
      <c r="L457">
        <f>IF($B457="","",IF($K457&lt;&gt;"",$K457,$J457))</f>
        <v/>
      </c>
      <c r="N457" s="8">
        <f>IF(OR($B457="",$G457=""),"",$B457+VLOOKUP($G457,Oppsett!$H$4:$J$7,2,FALSE)/24)</f>
        <v/>
      </c>
      <c r="O457" s="8">
        <f>IF(OR($B457="",$G457=""),"",$B457+VLOOKUP($G457,Oppsett!$H$4:$J$7,3,FALSE)/24)</f>
        <v/>
      </c>
      <c r="P457" s="8" t="n"/>
      <c r="Q457" s="8" t="n"/>
      <c r="R457">
        <f>IF($B457="","",IF($P457&lt;&gt;"",IF($P457&lt;=$N457,"OK","Påbegynt for sent"),IF(NOW()&gt;$N457,"FORFALT","Innen frist")))</f>
        <v/>
      </c>
      <c r="S457">
        <f>IF($B457="","",IF($Q457&lt;&gt;"",IF($Q457&lt;=$O457,"OK","Løst for sent"),IF(NOW()&gt;$O457,"FORFALT","Innen frist")))</f>
        <v/>
      </c>
      <c r="T457" s="10">
        <f>IF(OR($B457="",$Q457=""),"",ROUND(($Q457-$B457)*24,1))</f>
        <v/>
      </c>
    </row>
    <row r="458">
      <c r="A458">
        <f>IF($B458="","","SAK-"&amp;TEXT(ROW()-1,"0000"))</f>
        <v/>
      </c>
      <c r="B458" s="8">
        <f>IF($C458&amp;$H458="","",IF($B458="",NOW(),$B458))</f>
        <v/>
      </c>
      <c r="J458">
        <f>IF($F458="","",IFERROR(VLOOKUP($F458,Oppsett!$E$4:$F$11,2,FALSE),"– ikke tildelt –"))</f>
        <v/>
      </c>
      <c r="L458">
        <f>IF($B458="","",IF($K458&lt;&gt;"",$K458,$J458))</f>
        <v/>
      </c>
      <c r="N458" s="8">
        <f>IF(OR($B458="",$G458=""),"",$B458+VLOOKUP($G458,Oppsett!$H$4:$J$7,2,FALSE)/24)</f>
        <v/>
      </c>
      <c r="O458" s="8">
        <f>IF(OR($B458="",$G458=""),"",$B458+VLOOKUP($G458,Oppsett!$H$4:$J$7,3,FALSE)/24)</f>
        <v/>
      </c>
      <c r="P458" s="8" t="n"/>
      <c r="Q458" s="8" t="n"/>
      <c r="R458">
        <f>IF($B458="","",IF($P458&lt;&gt;"",IF($P458&lt;=$N458,"OK","Påbegynt for sent"),IF(NOW()&gt;$N458,"FORFALT","Innen frist")))</f>
        <v/>
      </c>
      <c r="S458">
        <f>IF($B458="","",IF($Q458&lt;&gt;"",IF($Q458&lt;=$O458,"OK","Løst for sent"),IF(NOW()&gt;$O458,"FORFALT","Innen frist")))</f>
        <v/>
      </c>
      <c r="T458" s="10">
        <f>IF(OR($B458="",$Q458=""),"",ROUND(($Q458-$B458)*24,1))</f>
        <v/>
      </c>
    </row>
    <row r="459">
      <c r="A459">
        <f>IF($B459="","","SAK-"&amp;TEXT(ROW()-1,"0000"))</f>
        <v/>
      </c>
      <c r="B459" s="8">
        <f>IF($C459&amp;$H459="","",IF($B459="",NOW(),$B459))</f>
        <v/>
      </c>
      <c r="J459">
        <f>IF($F459="","",IFERROR(VLOOKUP($F459,Oppsett!$E$4:$F$11,2,FALSE),"– ikke tildelt –"))</f>
        <v/>
      </c>
      <c r="L459">
        <f>IF($B459="","",IF($K459&lt;&gt;"",$K459,$J459))</f>
        <v/>
      </c>
      <c r="N459" s="8">
        <f>IF(OR($B459="",$G459=""),"",$B459+VLOOKUP($G459,Oppsett!$H$4:$J$7,2,FALSE)/24)</f>
        <v/>
      </c>
      <c r="O459" s="8">
        <f>IF(OR($B459="",$G459=""),"",$B459+VLOOKUP($G459,Oppsett!$H$4:$J$7,3,FALSE)/24)</f>
        <v/>
      </c>
      <c r="P459" s="8" t="n"/>
      <c r="Q459" s="8" t="n"/>
      <c r="R459">
        <f>IF($B459="","",IF($P459&lt;&gt;"",IF($P459&lt;=$N459,"OK","Påbegynt for sent"),IF(NOW()&gt;$N459,"FORFALT","Innen frist")))</f>
        <v/>
      </c>
      <c r="S459">
        <f>IF($B459="","",IF($Q459&lt;&gt;"",IF($Q459&lt;=$O459,"OK","Løst for sent"),IF(NOW()&gt;$O459,"FORFALT","Innen frist")))</f>
        <v/>
      </c>
      <c r="T459" s="10">
        <f>IF(OR($B459="",$Q459=""),"",ROUND(($Q459-$B459)*24,1))</f>
        <v/>
      </c>
    </row>
    <row r="460">
      <c r="A460">
        <f>IF($B460="","","SAK-"&amp;TEXT(ROW()-1,"0000"))</f>
        <v/>
      </c>
      <c r="B460" s="8">
        <f>IF($C460&amp;$H460="","",IF($B460="",NOW(),$B460))</f>
        <v/>
      </c>
      <c r="J460">
        <f>IF($F460="","",IFERROR(VLOOKUP($F460,Oppsett!$E$4:$F$11,2,FALSE),"– ikke tildelt –"))</f>
        <v/>
      </c>
      <c r="L460">
        <f>IF($B460="","",IF($K460&lt;&gt;"",$K460,$J460))</f>
        <v/>
      </c>
      <c r="N460" s="8">
        <f>IF(OR($B460="",$G460=""),"",$B460+VLOOKUP($G460,Oppsett!$H$4:$J$7,2,FALSE)/24)</f>
        <v/>
      </c>
      <c r="O460" s="8">
        <f>IF(OR($B460="",$G460=""),"",$B460+VLOOKUP($G460,Oppsett!$H$4:$J$7,3,FALSE)/24)</f>
        <v/>
      </c>
      <c r="P460" s="8" t="n"/>
      <c r="Q460" s="8" t="n"/>
      <c r="R460">
        <f>IF($B460="","",IF($P460&lt;&gt;"",IF($P460&lt;=$N460,"OK","Påbegynt for sent"),IF(NOW()&gt;$N460,"FORFALT","Innen frist")))</f>
        <v/>
      </c>
      <c r="S460">
        <f>IF($B460="","",IF($Q460&lt;&gt;"",IF($Q460&lt;=$O460,"OK","Løst for sent"),IF(NOW()&gt;$O460,"FORFALT","Innen frist")))</f>
        <v/>
      </c>
      <c r="T460" s="10">
        <f>IF(OR($B460="",$Q460=""),"",ROUND(($Q460-$B460)*24,1))</f>
        <v/>
      </c>
    </row>
    <row r="461">
      <c r="A461">
        <f>IF($B461="","","SAK-"&amp;TEXT(ROW()-1,"0000"))</f>
        <v/>
      </c>
      <c r="B461" s="8">
        <f>IF($C461&amp;$H461="","",IF($B461="",NOW(),$B461))</f>
        <v/>
      </c>
      <c r="J461">
        <f>IF($F461="","",IFERROR(VLOOKUP($F461,Oppsett!$E$4:$F$11,2,FALSE),"– ikke tildelt –"))</f>
        <v/>
      </c>
      <c r="L461">
        <f>IF($B461="","",IF($K461&lt;&gt;"",$K461,$J461))</f>
        <v/>
      </c>
      <c r="N461" s="8">
        <f>IF(OR($B461="",$G461=""),"",$B461+VLOOKUP($G461,Oppsett!$H$4:$J$7,2,FALSE)/24)</f>
        <v/>
      </c>
      <c r="O461" s="8">
        <f>IF(OR($B461="",$G461=""),"",$B461+VLOOKUP($G461,Oppsett!$H$4:$J$7,3,FALSE)/24)</f>
        <v/>
      </c>
      <c r="P461" s="8" t="n"/>
      <c r="Q461" s="8" t="n"/>
      <c r="R461">
        <f>IF($B461="","",IF($P461&lt;&gt;"",IF($P461&lt;=$N461,"OK","Påbegynt for sent"),IF(NOW()&gt;$N461,"FORFALT","Innen frist")))</f>
        <v/>
      </c>
      <c r="S461">
        <f>IF($B461="","",IF($Q461&lt;&gt;"",IF($Q461&lt;=$O461,"OK","Løst for sent"),IF(NOW()&gt;$O461,"FORFALT","Innen frist")))</f>
        <v/>
      </c>
      <c r="T461" s="10">
        <f>IF(OR($B461="",$Q461=""),"",ROUND(($Q461-$B461)*24,1))</f>
        <v/>
      </c>
    </row>
    <row r="462">
      <c r="A462">
        <f>IF($B462="","","SAK-"&amp;TEXT(ROW()-1,"0000"))</f>
        <v/>
      </c>
      <c r="B462" s="8">
        <f>IF($C462&amp;$H462="","",IF($B462="",NOW(),$B462))</f>
        <v/>
      </c>
      <c r="J462">
        <f>IF($F462="","",IFERROR(VLOOKUP($F462,Oppsett!$E$4:$F$11,2,FALSE),"– ikke tildelt –"))</f>
        <v/>
      </c>
      <c r="L462">
        <f>IF($B462="","",IF($K462&lt;&gt;"",$K462,$J462))</f>
        <v/>
      </c>
      <c r="N462" s="8">
        <f>IF(OR($B462="",$G462=""),"",$B462+VLOOKUP($G462,Oppsett!$H$4:$J$7,2,FALSE)/24)</f>
        <v/>
      </c>
      <c r="O462" s="8">
        <f>IF(OR($B462="",$G462=""),"",$B462+VLOOKUP($G462,Oppsett!$H$4:$J$7,3,FALSE)/24)</f>
        <v/>
      </c>
      <c r="P462" s="8" t="n"/>
      <c r="Q462" s="8" t="n"/>
      <c r="R462">
        <f>IF($B462="","",IF($P462&lt;&gt;"",IF($P462&lt;=$N462,"OK","Påbegynt for sent"),IF(NOW()&gt;$N462,"FORFALT","Innen frist")))</f>
        <v/>
      </c>
      <c r="S462">
        <f>IF($B462="","",IF($Q462&lt;&gt;"",IF($Q462&lt;=$O462,"OK","Løst for sent"),IF(NOW()&gt;$O462,"FORFALT","Innen frist")))</f>
        <v/>
      </c>
      <c r="T462" s="10">
        <f>IF(OR($B462="",$Q462=""),"",ROUND(($Q462-$B462)*24,1))</f>
        <v/>
      </c>
    </row>
    <row r="463">
      <c r="A463">
        <f>IF($B463="","","SAK-"&amp;TEXT(ROW()-1,"0000"))</f>
        <v/>
      </c>
      <c r="B463" s="8">
        <f>IF($C463&amp;$H463="","",IF($B463="",NOW(),$B463))</f>
        <v/>
      </c>
      <c r="J463">
        <f>IF($F463="","",IFERROR(VLOOKUP($F463,Oppsett!$E$4:$F$11,2,FALSE),"– ikke tildelt –"))</f>
        <v/>
      </c>
      <c r="L463">
        <f>IF($B463="","",IF($K463&lt;&gt;"",$K463,$J463))</f>
        <v/>
      </c>
      <c r="N463" s="8">
        <f>IF(OR($B463="",$G463=""),"",$B463+VLOOKUP($G463,Oppsett!$H$4:$J$7,2,FALSE)/24)</f>
        <v/>
      </c>
      <c r="O463" s="8">
        <f>IF(OR($B463="",$G463=""),"",$B463+VLOOKUP($G463,Oppsett!$H$4:$J$7,3,FALSE)/24)</f>
        <v/>
      </c>
      <c r="P463" s="8" t="n"/>
      <c r="Q463" s="8" t="n"/>
      <c r="R463">
        <f>IF($B463="","",IF($P463&lt;&gt;"",IF($P463&lt;=$N463,"OK","Påbegynt for sent"),IF(NOW()&gt;$N463,"FORFALT","Innen frist")))</f>
        <v/>
      </c>
      <c r="S463">
        <f>IF($B463="","",IF($Q463&lt;&gt;"",IF($Q463&lt;=$O463,"OK","Løst for sent"),IF(NOW()&gt;$O463,"FORFALT","Innen frist")))</f>
        <v/>
      </c>
      <c r="T463" s="10">
        <f>IF(OR($B463="",$Q463=""),"",ROUND(($Q463-$B463)*24,1))</f>
        <v/>
      </c>
    </row>
    <row r="464">
      <c r="A464">
        <f>IF($B464="","","SAK-"&amp;TEXT(ROW()-1,"0000"))</f>
        <v/>
      </c>
      <c r="B464" s="8">
        <f>IF($C464&amp;$H464="","",IF($B464="",NOW(),$B464))</f>
        <v/>
      </c>
      <c r="J464">
        <f>IF($F464="","",IFERROR(VLOOKUP($F464,Oppsett!$E$4:$F$11,2,FALSE),"– ikke tildelt –"))</f>
        <v/>
      </c>
      <c r="L464">
        <f>IF($B464="","",IF($K464&lt;&gt;"",$K464,$J464))</f>
        <v/>
      </c>
      <c r="N464" s="8">
        <f>IF(OR($B464="",$G464=""),"",$B464+VLOOKUP($G464,Oppsett!$H$4:$J$7,2,FALSE)/24)</f>
        <v/>
      </c>
      <c r="O464" s="8">
        <f>IF(OR($B464="",$G464=""),"",$B464+VLOOKUP($G464,Oppsett!$H$4:$J$7,3,FALSE)/24)</f>
        <v/>
      </c>
      <c r="P464" s="8" t="n"/>
      <c r="Q464" s="8" t="n"/>
      <c r="R464">
        <f>IF($B464="","",IF($P464&lt;&gt;"",IF($P464&lt;=$N464,"OK","Påbegynt for sent"),IF(NOW()&gt;$N464,"FORFALT","Innen frist")))</f>
        <v/>
      </c>
      <c r="S464">
        <f>IF($B464="","",IF($Q464&lt;&gt;"",IF($Q464&lt;=$O464,"OK","Løst for sent"),IF(NOW()&gt;$O464,"FORFALT","Innen frist")))</f>
        <v/>
      </c>
      <c r="T464" s="10">
        <f>IF(OR($B464="",$Q464=""),"",ROUND(($Q464-$B464)*24,1))</f>
        <v/>
      </c>
    </row>
    <row r="465">
      <c r="A465">
        <f>IF($B465="","","SAK-"&amp;TEXT(ROW()-1,"0000"))</f>
        <v/>
      </c>
      <c r="B465" s="8">
        <f>IF($C465&amp;$H465="","",IF($B465="",NOW(),$B465))</f>
        <v/>
      </c>
      <c r="J465">
        <f>IF($F465="","",IFERROR(VLOOKUP($F465,Oppsett!$E$4:$F$11,2,FALSE),"– ikke tildelt –"))</f>
        <v/>
      </c>
      <c r="L465">
        <f>IF($B465="","",IF($K465&lt;&gt;"",$K465,$J465))</f>
        <v/>
      </c>
      <c r="N465" s="8">
        <f>IF(OR($B465="",$G465=""),"",$B465+VLOOKUP($G465,Oppsett!$H$4:$J$7,2,FALSE)/24)</f>
        <v/>
      </c>
      <c r="O465" s="8">
        <f>IF(OR($B465="",$G465=""),"",$B465+VLOOKUP($G465,Oppsett!$H$4:$J$7,3,FALSE)/24)</f>
        <v/>
      </c>
      <c r="P465" s="8" t="n"/>
      <c r="Q465" s="8" t="n"/>
      <c r="R465">
        <f>IF($B465="","",IF($P465&lt;&gt;"",IF($P465&lt;=$N465,"OK","Påbegynt for sent"),IF(NOW()&gt;$N465,"FORFALT","Innen frist")))</f>
        <v/>
      </c>
      <c r="S465">
        <f>IF($B465="","",IF($Q465&lt;&gt;"",IF($Q465&lt;=$O465,"OK","Løst for sent"),IF(NOW()&gt;$O465,"FORFALT","Innen frist")))</f>
        <v/>
      </c>
      <c r="T465" s="10">
        <f>IF(OR($B465="",$Q465=""),"",ROUND(($Q465-$B465)*24,1))</f>
        <v/>
      </c>
    </row>
    <row r="466">
      <c r="A466">
        <f>IF($B466="","","SAK-"&amp;TEXT(ROW()-1,"0000"))</f>
        <v/>
      </c>
      <c r="B466" s="8">
        <f>IF($C466&amp;$H466="","",IF($B466="",NOW(),$B466))</f>
        <v/>
      </c>
      <c r="J466">
        <f>IF($F466="","",IFERROR(VLOOKUP($F466,Oppsett!$E$4:$F$11,2,FALSE),"– ikke tildelt –"))</f>
        <v/>
      </c>
      <c r="L466">
        <f>IF($B466="","",IF($K466&lt;&gt;"",$K466,$J466))</f>
        <v/>
      </c>
      <c r="N466" s="8">
        <f>IF(OR($B466="",$G466=""),"",$B466+VLOOKUP($G466,Oppsett!$H$4:$J$7,2,FALSE)/24)</f>
        <v/>
      </c>
      <c r="O466" s="8">
        <f>IF(OR($B466="",$G466=""),"",$B466+VLOOKUP($G466,Oppsett!$H$4:$J$7,3,FALSE)/24)</f>
        <v/>
      </c>
      <c r="P466" s="8" t="n"/>
      <c r="Q466" s="8" t="n"/>
      <c r="R466">
        <f>IF($B466="","",IF($P466&lt;&gt;"",IF($P466&lt;=$N466,"OK","Påbegynt for sent"),IF(NOW()&gt;$N466,"FORFALT","Innen frist")))</f>
        <v/>
      </c>
      <c r="S466">
        <f>IF($B466="","",IF($Q466&lt;&gt;"",IF($Q466&lt;=$O466,"OK","Løst for sent"),IF(NOW()&gt;$O466,"FORFALT","Innen frist")))</f>
        <v/>
      </c>
      <c r="T466" s="10">
        <f>IF(OR($B466="",$Q466=""),"",ROUND(($Q466-$B466)*24,1))</f>
        <v/>
      </c>
    </row>
    <row r="467">
      <c r="A467">
        <f>IF($B467="","","SAK-"&amp;TEXT(ROW()-1,"0000"))</f>
        <v/>
      </c>
      <c r="B467" s="8">
        <f>IF($C467&amp;$H467="","",IF($B467="",NOW(),$B467))</f>
        <v/>
      </c>
      <c r="J467">
        <f>IF($F467="","",IFERROR(VLOOKUP($F467,Oppsett!$E$4:$F$11,2,FALSE),"– ikke tildelt –"))</f>
        <v/>
      </c>
      <c r="L467">
        <f>IF($B467="","",IF($K467&lt;&gt;"",$K467,$J467))</f>
        <v/>
      </c>
      <c r="N467" s="8">
        <f>IF(OR($B467="",$G467=""),"",$B467+VLOOKUP($G467,Oppsett!$H$4:$J$7,2,FALSE)/24)</f>
        <v/>
      </c>
      <c r="O467" s="8">
        <f>IF(OR($B467="",$G467=""),"",$B467+VLOOKUP($G467,Oppsett!$H$4:$J$7,3,FALSE)/24)</f>
        <v/>
      </c>
      <c r="P467" s="8" t="n"/>
      <c r="Q467" s="8" t="n"/>
      <c r="R467">
        <f>IF($B467="","",IF($P467&lt;&gt;"",IF($P467&lt;=$N467,"OK","Påbegynt for sent"),IF(NOW()&gt;$N467,"FORFALT","Innen frist")))</f>
        <v/>
      </c>
      <c r="S467">
        <f>IF($B467="","",IF($Q467&lt;&gt;"",IF($Q467&lt;=$O467,"OK","Løst for sent"),IF(NOW()&gt;$O467,"FORFALT","Innen frist")))</f>
        <v/>
      </c>
      <c r="T467" s="10">
        <f>IF(OR($B467="",$Q467=""),"",ROUND(($Q467-$B467)*24,1))</f>
        <v/>
      </c>
    </row>
    <row r="468">
      <c r="A468">
        <f>IF($B468="","","SAK-"&amp;TEXT(ROW()-1,"0000"))</f>
        <v/>
      </c>
      <c r="B468" s="8">
        <f>IF($C468&amp;$H468="","",IF($B468="",NOW(),$B468))</f>
        <v/>
      </c>
      <c r="J468">
        <f>IF($F468="","",IFERROR(VLOOKUP($F468,Oppsett!$E$4:$F$11,2,FALSE),"– ikke tildelt –"))</f>
        <v/>
      </c>
      <c r="L468">
        <f>IF($B468="","",IF($K468&lt;&gt;"",$K468,$J468))</f>
        <v/>
      </c>
      <c r="N468" s="8">
        <f>IF(OR($B468="",$G468=""),"",$B468+VLOOKUP($G468,Oppsett!$H$4:$J$7,2,FALSE)/24)</f>
        <v/>
      </c>
      <c r="O468" s="8">
        <f>IF(OR($B468="",$G468=""),"",$B468+VLOOKUP($G468,Oppsett!$H$4:$J$7,3,FALSE)/24)</f>
        <v/>
      </c>
      <c r="P468" s="8" t="n"/>
      <c r="Q468" s="8" t="n"/>
      <c r="R468">
        <f>IF($B468="","",IF($P468&lt;&gt;"",IF($P468&lt;=$N468,"OK","Påbegynt for sent"),IF(NOW()&gt;$N468,"FORFALT","Innen frist")))</f>
        <v/>
      </c>
      <c r="S468">
        <f>IF($B468="","",IF($Q468&lt;&gt;"",IF($Q468&lt;=$O468,"OK","Løst for sent"),IF(NOW()&gt;$O468,"FORFALT","Innen frist")))</f>
        <v/>
      </c>
      <c r="T468" s="10">
        <f>IF(OR($B468="",$Q468=""),"",ROUND(($Q468-$B468)*24,1))</f>
        <v/>
      </c>
    </row>
    <row r="469">
      <c r="A469">
        <f>IF($B469="","","SAK-"&amp;TEXT(ROW()-1,"0000"))</f>
        <v/>
      </c>
      <c r="B469" s="8">
        <f>IF($C469&amp;$H469="","",IF($B469="",NOW(),$B469))</f>
        <v/>
      </c>
      <c r="J469">
        <f>IF($F469="","",IFERROR(VLOOKUP($F469,Oppsett!$E$4:$F$11,2,FALSE),"– ikke tildelt –"))</f>
        <v/>
      </c>
      <c r="L469">
        <f>IF($B469="","",IF($K469&lt;&gt;"",$K469,$J469))</f>
        <v/>
      </c>
      <c r="N469" s="8">
        <f>IF(OR($B469="",$G469=""),"",$B469+VLOOKUP($G469,Oppsett!$H$4:$J$7,2,FALSE)/24)</f>
        <v/>
      </c>
      <c r="O469" s="8">
        <f>IF(OR($B469="",$G469=""),"",$B469+VLOOKUP($G469,Oppsett!$H$4:$J$7,3,FALSE)/24)</f>
        <v/>
      </c>
      <c r="P469" s="8" t="n"/>
      <c r="Q469" s="8" t="n"/>
      <c r="R469">
        <f>IF($B469="","",IF($P469&lt;&gt;"",IF($P469&lt;=$N469,"OK","Påbegynt for sent"),IF(NOW()&gt;$N469,"FORFALT","Innen frist")))</f>
        <v/>
      </c>
      <c r="S469">
        <f>IF($B469="","",IF($Q469&lt;&gt;"",IF($Q469&lt;=$O469,"OK","Løst for sent"),IF(NOW()&gt;$O469,"FORFALT","Innen frist")))</f>
        <v/>
      </c>
      <c r="T469" s="10">
        <f>IF(OR($B469="",$Q469=""),"",ROUND(($Q469-$B469)*24,1))</f>
        <v/>
      </c>
    </row>
    <row r="470">
      <c r="A470">
        <f>IF($B470="","","SAK-"&amp;TEXT(ROW()-1,"0000"))</f>
        <v/>
      </c>
      <c r="B470" s="8">
        <f>IF($C470&amp;$H470="","",IF($B470="",NOW(),$B470))</f>
        <v/>
      </c>
      <c r="J470">
        <f>IF($F470="","",IFERROR(VLOOKUP($F470,Oppsett!$E$4:$F$11,2,FALSE),"– ikke tildelt –"))</f>
        <v/>
      </c>
      <c r="L470">
        <f>IF($B470="","",IF($K470&lt;&gt;"",$K470,$J470))</f>
        <v/>
      </c>
      <c r="N470" s="8">
        <f>IF(OR($B470="",$G470=""),"",$B470+VLOOKUP($G470,Oppsett!$H$4:$J$7,2,FALSE)/24)</f>
        <v/>
      </c>
      <c r="O470" s="8">
        <f>IF(OR($B470="",$G470=""),"",$B470+VLOOKUP($G470,Oppsett!$H$4:$J$7,3,FALSE)/24)</f>
        <v/>
      </c>
      <c r="P470" s="8" t="n"/>
      <c r="Q470" s="8" t="n"/>
      <c r="R470">
        <f>IF($B470="","",IF($P470&lt;&gt;"",IF($P470&lt;=$N470,"OK","Påbegynt for sent"),IF(NOW()&gt;$N470,"FORFALT","Innen frist")))</f>
        <v/>
      </c>
      <c r="S470">
        <f>IF($B470="","",IF($Q470&lt;&gt;"",IF($Q470&lt;=$O470,"OK","Løst for sent"),IF(NOW()&gt;$O470,"FORFALT","Innen frist")))</f>
        <v/>
      </c>
      <c r="T470" s="10">
        <f>IF(OR($B470="",$Q470=""),"",ROUND(($Q470-$B470)*24,1))</f>
        <v/>
      </c>
    </row>
    <row r="471">
      <c r="A471">
        <f>IF($B471="","","SAK-"&amp;TEXT(ROW()-1,"0000"))</f>
        <v/>
      </c>
      <c r="B471" s="8">
        <f>IF($C471&amp;$H471="","",IF($B471="",NOW(),$B471))</f>
        <v/>
      </c>
      <c r="J471">
        <f>IF($F471="","",IFERROR(VLOOKUP($F471,Oppsett!$E$4:$F$11,2,FALSE),"– ikke tildelt –"))</f>
        <v/>
      </c>
      <c r="L471">
        <f>IF($B471="","",IF($K471&lt;&gt;"",$K471,$J471))</f>
        <v/>
      </c>
      <c r="N471" s="8">
        <f>IF(OR($B471="",$G471=""),"",$B471+VLOOKUP($G471,Oppsett!$H$4:$J$7,2,FALSE)/24)</f>
        <v/>
      </c>
      <c r="O471" s="8">
        <f>IF(OR($B471="",$G471=""),"",$B471+VLOOKUP($G471,Oppsett!$H$4:$J$7,3,FALSE)/24)</f>
        <v/>
      </c>
      <c r="P471" s="8" t="n"/>
      <c r="Q471" s="8" t="n"/>
      <c r="R471">
        <f>IF($B471="","",IF($P471&lt;&gt;"",IF($P471&lt;=$N471,"OK","Påbegynt for sent"),IF(NOW()&gt;$N471,"FORFALT","Innen frist")))</f>
        <v/>
      </c>
      <c r="S471">
        <f>IF($B471="","",IF($Q471&lt;&gt;"",IF($Q471&lt;=$O471,"OK","Løst for sent"),IF(NOW()&gt;$O471,"FORFALT","Innen frist")))</f>
        <v/>
      </c>
      <c r="T471" s="10">
        <f>IF(OR($B471="",$Q471=""),"",ROUND(($Q471-$B471)*24,1))</f>
        <v/>
      </c>
    </row>
    <row r="472">
      <c r="A472">
        <f>IF($B472="","","SAK-"&amp;TEXT(ROW()-1,"0000"))</f>
        <v/>
      </c>
      <c r="B472" s="8">
        <f>IF($C472&amp;$H472="","",IF($B472="",NOW(),$B472))</f>
        <v/>
      </c>
      <c r="J472">
        <f>IF($F472="","",IFERROR(VLOOKUP($F472,Oppsett!$E$4:$F$11,2,FALSE),"– ikke tildelt –"))</f>
        <v/>
      </c>
      <c r="L472">
        <f>IF($B472="","",IF($K472&lt;&gt;"",$K472,$J472))</f>
        <v/>
      </c>
      <c r="N472" s="8">
        <f>IF(OR($B472="",$G472=""),"",$B472+VLOOKUP($G472,Oppsett!$H$4:$J$7,2,FALSE)/24)</f>
        <v/>
      </c>
      <c r="O472" s="8">
        <f>IF(OR($B472="",$G472=""),"",$B472+VLOOKUP($G472,Oppsett!$H$4:$J$7,3,FALSE)/24)</f>
        <v/>
      </c>
      <c r="P472" s="8" t="n"/>
      <c r="Q472" s="8" t="n"/>
      <c r="R472">
        <f>IF($B472="","",IF($P472&lt;&gt;"",IF($P472&lt;=$N472,"OK","Påbegynt for sent"),IF(NOW()&gt;$N472,"FORFALT","Innen frist")))</f>
        <v/>
      </c>
      <c r="S472">
        <f>IF($B472="","",IF($Q472&lt;&gt;"",IF($Q472&lt;=$O472,"OK","Løst for sent"),IF(NOW()&gt;$O472,"FORFALT","Innen frist")))</f>
        <v/>
      </c>
      <c r="T472" s="10">
        <f>IF(OR($B472="",$Q472=""),"",ROUND(($Q472-$B472)*24,1))</f>
        <v/>
      </c>
    </row>
    <row r="473">
      <c r="A473">
        <f>IF($B473="","","SAK-"&amp;TEXT(ROW()-1,"0000"))</f>
        <v/>
      </c>
      <c r="B473" s="8">
        <f>IF($C473&amp;$H473="","",IF($B473="",NOW(),$B473))</f>
        <v/>
      </c>
      <c r="J473">
        <f>IF($F473="","",IFERROR(VLOOKUP($F473,Oppsett!$E$4:$F$11,2,FALSE),"– ikke tildelt –"))</f>
        <v/>
      </c>
      <c r="L473">
        <f>IF($B473="","",IF($K473&lt;&gt;"",$K473,$J473))</f>
        <v/>
      </c>
      <c r="N473" s="8">
        <f>IF(OR($B473="",$G473=""),"",$B473+VLOOKUP($G473,Oppsett!$H$4:$J$7,2,FALSE)/24)</f>
        <v/>
      </c>
      <c r="O473" s="8">
        <f>IF(OR($B473="",$G473=""),"",$B473+VLOOKUP($G473,Oppsett!$H$4:$J$7,3,FALSE)/24)</f>
        <v/>
      </c>
      <c r="P473" s="8" t="n"/>
      <c r="Q473" s="8" t="n"/>
      <c r="R473">
        <f>IF($B473="","",IF($P473&lt;&gt;"",IF($P473&lt;=$N473,"OK","Påbegynt for sent"),IF(NOW()&gt;$N473,"FORFALT","Innen frist")))</f>
        <v/>
      </c>
      <c r="S473">
        <f>IF($B473="","",IF($Q473&lt;&gt;"",IF($Q473&lt;=$O473,"OK","Løst for sent"),IF(NOW()&gt;$O473,"FORFALT","Innen frist")))</f>
        <v/>
      </c>
      <c r="T473" s="10">
        <f>IF(OR($B473="",$Q473=""),"",ROUND(($Q473-$B473)*24,1))</f>
        <v/>
      </c>
    </row>
    <row r="474">
      <c r="A474">
        <f>IF($B474="","","SAK-"&amp;TEXT(ROW()-1,"0000"))</f>
        <v/>
      </c>
      <c r="B474" s="8">
        <f>IF($C474&amp;$H474="","",IF($B474="",NOW(),$B474))</f>
        <v/>
      </c>
      <c r="J474">
        <f>IF($F474="","",IFERROR(VLOOKUP($F474,Oppsett!$E$4:$F$11,2,FALSE),"– ikke tildelt –"))</f>
        <v/>
      </c>
      <c r="L474">
        <f>IF($B474="","",IF($K474&lt;&gt;"",$K474,$J474))</f>
        <v/>
      </c>
      <c r="N474" s="8">
        <f>IF(OR($B474="",$G474=""),"",$B474+VLOOKUP($G474,Oppsett!$H$4:$J$7,2,FALSE)/24)</f>
        <v/>
      </c>
      <c r="O474" s="8">
        <f>IF(OR($B474="",$G474=""),"",$B474+VLOOKUP($G474,Oppsett!$H$4:$J$7,3,FALSE)/24)</f>
        <v/>
      </c>
      <c r="P474" s="8" t="n"/>
      <c r="Q474" s="8" t="n"/>
      <c r="R474">
        <f>IF($B474="","",IF($P474&lt;&gt;"",IF($P474&lt;=$N474,"OK","Påbegynt for sent"),IF(NOW()&gt;$N474,"FORFALT","Innen frist")))</f>
        <v/>
      </c>
      <c r="S474">
        <f>IF($B474="","",IF($Q474&lt;&gt;"",IF($Q474&lt;=$O474,"OK","Løst for sent"),IF(NOW()&gt;$O474,"FORFALT","Innen frist")))</f>
        <v/>
      </c>
      <c r="T474" s="10">
        <f>IF(OR($B474="",$Q474=""),"",ROUND(($Q474-$B474)*24,1))</f>
        <v/>
      </c>
    </row>
    <row r="475">
      <c r="A475">
        <f>IF($B475="","","SAK-"&amp;TEXT(ROW()-1,"0000"))</f>
        <v/>
      </c>
      <c r="B475" s="8">
        <f>IF($C475&amp;$H475="","",IF($B475="",NOW(),$B475))</f>
        <v/>
      </c>
      <c r="J475">
        <f>IF($F475="","",IFERROR(VLOOKUP($F475,Oppsett!$E$4:$F$11,2,FALSE),"– ikke tildelt –"))</f>
        <v/>
      </c>
      <c r="L475">
        <f>IF($B475="","",IF($K475&lt;&gt;"",$K475,$J475))</f>
        <v/>
      </c>
      <c r="N475" s="8">
        <f>IF(OR($B475="",$G475=""),"",$B475+VLOOKUP($G475,Oppsett!$H$4:$J$7,2,FALSE)/24)</f>
        <v/>
      </c>
      <c r="O475" s="8">
        <f>IF(OR($B475="",$G475=""),"",$B475+VLOOKUP($G475,Oppsett!$H$4:$J$7,3,FALSE)/24)</f>
        <v/>
      </c>
      <c r="P475" s="8" t="n"/>
      <c r="Q475" s="8" t="n"/>
      <c r="R475">
        <f>IF($B475="","",IF($P475&lt;&gt;"",IF($P475&lt;=$N475,"OK","Påbegynt for sent"),IF(NOW()&gt;$N475,"FORFALT","Innen frist")))</f>
        <v/>
      </c>
      <c r="S475">
        <f>IF($B475="","",IF($Q475&lt;&gt;"",IF($Q475&lt;=$O475,"OK","Løst for sent"),IF(NOW()&gt;$O475,"FORFALT","Innen frist")))</f>
        <v/>
      </c>
      <c r="T475" s="10">
        <f>IF(OR($B475="",$Q475=""),"",ROUND(($Q475-$B475)*24,1))</f>
        <v/>
      </c>
    </row>
    <row r="476">
      <c r="A476">
        <f>IF($B476="","","SAK-"&amp;TEXT(ROW()-1,"0000"))</f>
        <v/>
      </c>
      <c r="B476" s="8">
        <f>IF($C476&amp;$H476="","",IF($B476="",NOW(),$B476))</f>
        <v/>
      </c>
      <c r="J476">
        <f>IF($F476="","",IFERROR(VLOOKUP($F476,Oppsett!$E$4:$F$11,2,FALSE),"– ikke tildelt –"))</f>
        <v/>
      </c>
      <c r="L476">
        <f>IF($B476="","",IF($K476&lt;&gt;"",$K476,$J476))</f>
        <v/>
      </c>
      <c r="N476" s="8">
        <f>IF(OR($B476="",$G476=""),"",$B476+VLOOKUP($G476,Oppsett!$H$4:$J$7,2,FALSE)/24)</f>
        <v/>
      </c>
      <c r="O476" s="8">
        <f>IF(OR($B476="",$G476=""),"",$B476+VLOOKUP($G476,Oppsett!$H$4:$J$7,3,FALSE)/24)</f>
        <v/>
      </c>
      <c r="P476" s="8" t="n"/>
      <c r="Q476" s="8" t="n"/>
      <c r="R476">
        <f>IF($B476="","",IF($P476&lt;&gt;"",IF($P476&lt;=$N476,"OK","Påbegynt for sent"),IF(NOW()&gt;$N476,"FORFALT","Innen frist")))</f>
        <v/>
      </c>
      <c r="S476">
        <f>IF($B476="","",IF($Q476&lt;&gt;"",IF($Q476&lt;=$O476,"OK","Løst for sent"),IF(NOW()&gt;$O476,"FORFALT","Innen frist")))</f>
        <v/>
      </c>
      <c r="T476" s="10">
        <f>IF(OR($B476="",$Q476=""),"",ROUND(($Q476-$B476)*24,1))</f>
        <v/>
      </c>
    </row>
    <row r="477">
      <c r="A477">
        <f>IF($B477="","","SAK-"&amp;TEXT(ROW()-1,"0000"))</f>
        <v/>
      </c>
      <c r="B477" s="8">
        <f>IF($C477&amp;$H477="","",IF($B477="",NOW(),$B477))</f>
        <v/>
      </c>
      <c r="J477">
        <f>IF($F477="","",IFERROR(VLOOKUP($F477,Oppsett!$E$4:$F$11,2,FALSE),"– ikke tildelt –"))</f>
        <v/>
      </c>
      <c r="L477">
        <f>IF($B477="","",IF($K477&lt;&gt;"",$K477,$J477))</f>
        <v/>
      </c>
      <c r="N477" s="8">
        <f>IF(OR($B477="",$G477=""),"",$B477+VLOOKUP($G477,Oppsett!$H$4:$J$7,2,FALSE)/24)</f>
        <v/>
      </c>
      <c r="O477" s="8">
        <f>IF(OR($B477="",$G477=""),"",$B477+VLOOKUP($G477,Oppsett!$H$4:$J$7,3,FALSE)/24)</f>
        <v/>
      </c>
      <c r="P477" s="8" t="n"/>
      <c r="Q477" s="8" t="n"/>
      <c r="R477">
        <f>IF($B477="","",IF($P477&lt;&gt;"",IF($P477&lt;=$N477,"OK","Påbegynt for sent"),IF(NOW()&gt;$N477,"FORFALT","Innen frist")))</f>
        <v/>
      </c>
      <c r="S477">
        <f>IF($B477="","",IF($Q477&lt;&gt;"",IF($Q477&lt;=$O477,"OK","Løst for sent"),IF(NOW()&gt;$O477,"FORFALT","Innen frist")))</f>
        <v/>
      </c>
      <c r="T477" s="10">
        <f>IF(OR($B477="",$Q477=""),"",ROUND(($Q477-$B477)*24,1))</f>
        <v/>
      </c>
    </row>
    <row r="478">
      <c r="A478">
        <f>IF($B478="","","SAK-"&amp;TEXT(ROW()-1,"0000"))</f>
        <v/>
      </c>
      <c r="B478" s="8">
        <f>IF($C478&amp;$H478="","",IF($B478="",NOW(),$B478))</f>
        <v/>
      </c>
      <c r="J478">
        <f>IF($F478="","",IFERROR(VLOOKUP($F478,Oppsett!$E$4:$F$11,2,FALSE),"– ikke tildelt –"))</f>
        <v/>
      </c>
      <c r="L478">
        <f>IF($B478="","",IF($K478&lt;&gt;"",$K478,$J478))</f>
        <v/>
      </c>
      <c r="N478" s="8">
        <f>IF(OR($B478="",$G478=""),"",$B478+VLOOKUP($G478,Oppsett!$H$4:$J$7,2,FALSE)/24)</f>
        <v/>
      </c>
      <c r="O478" s="8">
        <f>IF(OR($B478="",$G478=""),"",$B478+VLOOKUP($G478,Oppsett!$H$4:$J$7,3,FALSE)/24)</f>
        <v/>
      </c>
      <c r="P478" s="8" t="n"/>
      <c r="Q478" s="8" t="n"/>
      <c r="R478">
        <f>IF($B478="","",IF($P478&lt;&gt;"",IF($P478&lt;=$N478,"OK","Påbegynt for sent"),IF(NOW()&gt;$N478,"FORFALT","Innen frist")))</f>
        <v/>
      </c>
      <c r="S478">
        <f>IF($B478="","",IF($Q478&lt;&gt;"",IF($Q478&lt;=$O478,"OK","Løst for sent"),IF(NOW()&gt;$O478,"FORFALT","Innen frist")))</f>
        <v/>
      </c>
      <c r="T478" s="10">
        <f>IF(OR($B478="",$Q478=""),"",ROUND(($Q478-$B478)*24,1))</f>
        <v/>
      </c>
    </row>
    <row r="479">
      <c r="A479">
        <f>IF($B479="","","SAK-"&amp;TEXT(ROW()-1,"0000"))</f>
        <v/>
      </c>
      <c r="B479" s="8">
        <f>IF($C479&amp;$H479="","",IF($B479="",NOW(),$B479))</f>
        <v/>
      </c>
      <c r="J479">
        <f>IF($F479="","",IFERROR(VLOOKUP($F479,Oppsett!$E$4:$F$11,2,FALSE),"– ikke tildelt –"))</f>
        <v/>
      </c>
      <c r="L479">
        <f>IF($B479="","",IF($K479&lt;&gt;"",$K479,$J479))</f>
        <v/>
      </c>
      <c r="N479" s="8">
        <f>IF(OR($B479="",$G479=""),"",$B479+VLOOKUP($G479,Oppsett!$H$4:$J$7,2,FALSE)/24)</f>
        <v/>
      </c>
      <c r="O479" s="8">
        <f>IF(OR($B479="",$G479=""),"",$B479+VLOOKUP($G479,Oppsett!$H$4:$J$7,3,FALSE)/24)</f>
        <v/>
      </c>
      <c r="P479" s="8" t="n"/>
      <c r="Q479" s="8" t="n"/>
      <c r="R479">
        <f>IF($B479="","",IF($P479&lt;&gt;"",IF($P479&lt;=$N479,"OK","Påbegynt for sent"),IF(NOW()&gt;$N479,"FORFALT","Innen frist")))</f>
        <v/>
      </c>
      <c r="S479">
        <f>IF($B479="","",IF($Q479&lt;&gt;"",IF($Q479&lt;=$O479,"OK","Løst for sent"),IF(NOW()&gt;$O479,"FORFALT","Innen frist")))</f>
        <v/>
      </c>
      <c r="T479" s="10">
        <f>IF(OR($B479="",$Q479=""),"",ROUND(($Q479-$B479)*24,1))</f>
        <v/>
      </c>
    </row>
    <row r="480">
      <c r="A480">
        <f>IF($B480="","","SAK-"&amp;TEXT(ROW()-1,"0000"))</f>
        <v/>
      </c>
      <c r="B480" s="8">
        <f>IF($C480&amp;$H480="","",IF($B480="",NOW(),$B480))</f>
        <v/>
      </c>
      <c r="J480">
        <f>IF($F480="","",IFERROR(VLOOKUP($F480,Oppsett!$E$4:$F$11,2,FALSE),"– ikke tildelt –"))</f>
        <v/>
      </c>
      <c r="L480">
        <f>IF($B480="","",IF($K480&lt;&gt;"",$K480,$J480))</f>
        <v/>
      </c>
      <c r="N480" s="8">
        <f>IF(OR($B480="",$G480=""),"",$B480+VLOOKUP($G480,Oppsett!$H$4:$J$7,2,FALSE)/24)</f>
        <v/>
      </c>
      <c r="O480" s="8">
        <f>IF(OR($B480="",$G480=""),"",$B480+VLOOKUP($G480,Oppsett!$H$4:$J$7,3,FALSE)/24)</f>
        <v/>
      </c>
      <c r="P480" s="8" t="n"/>
      <c r="Q480" s="8" t="n"/>
      <c r="R480">
        <f>IF($B480="","",IF($P480&lt;&gt;"",IF($P480&lt;=$N480,"OK","Påbegynt for sent"),IF(NOW()&gt;$N480,"FORFALT","Innen frist")))</f>
        <v/>
      </c>
      <c r="S480">
        <f>IF($B480="","",IF($Q480&lt;&gt;"",IF($Q480&lt;=$O480,"OK","Løst for sent"),IF(NOW()&gt;$O480,"FORFALT","Innen frist")))</f>
        <v/>
      </c>
      <c r="T480" s="10">
        <f>IF(OR($B480="",$Q480=""),"",ROUND(($Q480-$B480)*24,1))</f>
        <v/>
      </c>
    </row>
    <row r="481">
      <c r="A481">
        <f>IF($B481="","","SAK-"&amp;TEXT(ROW()-1,"0000"))</f>
        <v/>
      </c>
      <c r="B481" s="8">
        <f>IF($C481&amp;$H481="","",IF($B481="",NOW(),$B481))</f>
        <v/>
      </c>
      <c r="J481">
        <f>IF($F481="","",IFERROR(VLOOKUP($F481,Oppsett!$E$4:$F$11,2,FALSE),"– ikke tildelt –"))</f>
        <v/>
      </c>
      <c r="L481">
        <f>IF($B481="","",IF($K481&lt;&gt;"",$K481,$J481))</f>
        <v/>
      </c>
      <c r="N481" s="8">
        <f>IF(OR($B481="",$G481=""),"",$B481+VLOOKUP($G481,Oppsett!$H$4:$J$7,2,FALSE)/24)</f>
        <v/>
      </c>
      <c r="O481" s="8">
        <f>IF(OR($B481="",$G481=""),"",$B481+VLOOKUP($G481,Oppsett!$H$4:$J$7,3,FALSE)/24)</f>
        <v/>
      </c>
      <c r="P481" s="8" t="n"/>
      <c r="Q481" s="8" t="n"/>
      <c r="R481">
        <f>IF($B481="","",IF($P481&lt;&gt;"",IF($P481&lt;=$N481,"OK","Påbegynt for sent"),IF(NOW()&gt;$N481,"FORFALT","Innen frist")))</f>
        <v/>
      </c>
      <c r="S481">
        <f>IF($B481="","",IF($Q481&lt;&gt;"",IF($Q481&lt;=$O481,"OK","Løst for sent"),IF(NOW()&gt;$O481,"FORFALT","Innen frist")))</f>
        <v/>
      </c>
      <c r="T481" s="10">
        <f>IF(OR($B481="",$Q481=""),"",ROUND(($Q481-$B481)*24,1))</f>
        <v/>
      </c>
    </row>
    <row r="482">
      <c r="A482">
        <f>IF($B482="","","SAK-"&amp;TEXT(ROW()-1,"0000"))</f>
        <v/>
      </c>
      <c r="B482" s="8">
        <f>IF($C482&amp;$H482="","",IF($B482="",NOW(),$B482))</f>
        <v/>
      </c>
      <c r="J482">
        <f>IF($F482="","",IFERROR(VLOOKUP($F482,Oppsett!$E$4:$F$11,2,FALSE),"– ikke tildelt –"))</f>
        <v/>
      </c>
      <c r="L482">
        <f>IF($B482="","",IF($K482&lt;&gt;"",$K482,$J482))</f>
        <v/>
      </c>
      <c r="N482" s="8">
        <f>IF(OR($B482="",$G482=""),"",$B482+VLOOKUP($G482,Oppsett!$H$4:$J$7,2,FALSE)/24)</f>
        <v/>
      </c>
      <c r="O482" s="8">
        <f>IF(OR($B482="",$G482=""),"",$B482+VLOOKUP($G482,Oppsett!$H$4:$J$7,3,FALSE)/24)</f>
        <v/>
      </c>
      <c r="P482" s="8" t="n"/>
      <c r="Q482" s="8" t="n"/>
      <c r="R482">
        <f>IF($B482="","",IF($P482&lt;&gt;"",IF($P482&lt;=$N482,"OK","Påbegynt for sent"),IF(NOW()&gt;$N482,"FORFALT","Innen frist")))</f>
        <v/>
      </c>
      <c r="S482">
        <f>IF($B482="","",IF($Q482&lt;&gt;"",IF($Q482&lt;=$O482,"OK","Løst for sent"),IF(NOW()&gt;$O482,"FORFALT","Innen frist")))</f>
        <v/>
      </c>
      <c r="T482" s="10">
        <f>IF(OR($B482="",$Q482=""),"",ROUND(($Q482-$B482)*24,1))</f>
        <v/>
      </c>
    </row>
    <row r="483">
      <c r="A483">
        <f>IF($B483="","","SAK-"&amp;TEXT(ROW()-1,"0000"))</f>
        <v/>
      </c>
      <c r="B483" s="8">
        <f>IF($C483&amp;$H483="","",IF($B483="",NOW(),$B483))</f>
        <v/>
      </c>
      <c r="J483">
        <f>IF($F483="","",IFERROR(VLOOKUP($F483,Oppsett!$E$4:$F$11,2,FALSE),"– ikke tildelt –"))</f>
        <v/>
      </c>
      <c r="L483">
        <f>IF($B483="","",IF($K483&lt;&gt;"",$K483,$J483))</f>
        <v/>
      </c>
      <c r="N483" s="8">
        <f>IF(OR($B483="",$G483=""),"",$B483+VLOOKUP($G483,Oppsett!$H$4:$J$7,2,FALSE)/24)</f>
        <v/>
      </c>
      <c r="O483" s="8">
        <f>IF(OR($B483="",$G483=""),"",$B483+VLOOKUP($G483,Oppsett!$H$4:$J$7,3,FALSE)/24)</f>
        <v/>
      </c>
      <c r="P483" s="8" t="n"/>
      <c r="Q483" s="8" t="n"/>
      <c r="R483">
        <f>IF($B483="","",IF($P483&lt;&gt;"",IF($P483&lt;=$N483,"OK","Påbegynt for sent"),IF(NOW()&gt;$N483,"FORFALT","Innen frist")))</f>
        <v/>
      </c>
      <c r="S483">
        <f>IF($B483="","",IF($Q483&lt;&gt;"",IF($Q483&lt;=$O483,"OK","Løst for sent"),IF(NOW()&gt;$O483,"FORFALT","Innen frist")))</f>
        <v/>
      </c>
      <c r="T483" s="10">
        <f>IF(OR($B483="",$Q483=""),"",ROUND(($Q483-$B483)*24,1))</f>
        <v/>
      </c>
    </row>
    <row r="484">
      <c r="A484">
        <f>IF($B484="","","SAK-"&amp;TEXT(ROW()-1,"0000"))</f>
        <v/>
      </c>
      <c r="B484" s="8">
        <f>IF($C484&amp;$H484="","",IF($B484="",NOW(),$B484))</f>
        <v/>
      </c>
      <c r="J484">
        <f>IF($F484="","",IFERROR(VLOOKUP($F484,Oppsett!$E$4:$F$11,2,FALSE),"– ikke tildelt –"))</f>
        <v/>
      </c>
      <c r="L484">
        <f>IF($B484="","",IF($K484&lt;&gt;"",$K484,$J484))</f>
        <v/>
      </c>
      <c r="N484" s="8">
        <f>IF(OR($B484="",$G484=""),"",$B484+VLOOKUP($G484,Oppsett!$H$4:$J$7,2,FALSE)/24)</f>
        <v/>
      </c>
      <c r="O484" s="8">
        <f>IF(OR($B484="",$G484=""),"",$B484+VLOOKUP($G484,Oppsett!$H$4:$J$7,3,FALSE)/24)</f>
        <v/>
      </c>
      <c r="P484" s="8" t="n"/>
      <c r="Q484" s="8" t="n"/>
      <c r="R484">
        <f>IF($B484="","",IF($P484&lt;&gt;"",IF($P484&lt;=$N484,"OK","Påbegynt for sent"),IF(NOW()&gt;$N484,"FORFALT","Innen frist")))</f>
        <v/>
      </c>
      <c r="S484">
        <f>IF($B484="","",IF($Q484&lt;&gt;"",IF($Q484&lt;=$O484,"OK","Løst for sent"),IF(NOW()&gt;$O484,"FORFALT","Innen frist")))</f>
        <v/>
      </c>
      <c r="T484" s="10">
        <f>IF(OR($B484="",$Q484=""),"",ROUND(($Q484-$B484)*24,1))</f>
        <v/>
      </c>
    </row>
    <row r="485">
      <c r="A485">
        <f>IF($B485="","","SAK-"&amp;TEXT(ROW()-1,"0000"))</f>
        <v/>
      </c>
      <c r="B485" s="8">
        <f>IF($C485&amp;$H485="","",IF($B485="",NOW(),$B485))</f>
        <v/>
      </c>
      <c r="J485">
        <f>IF($F485="","",IFERROR(VLOOKUP($F485,Oppsett!$E$4:$F$11,2,FALSE),"– ikke tildelt –"))</f>
        <v/>
      </c>
      <c r="L485">
        <f>IF($B485="","",IF($K485&lt;&gt;"",$K485,$J485))</f>
        <v/>
      </c>
      <c r="N485" s="8">
        <f>IF(OR($B485="",$G485=""),"",$B485+VLOOKUP($G485,Oppsett!$H$4:$J$7,2,FALSE)/24)</f>
        <v/>
      </c>
      <c r="O485" s="8">
        <f>IF(OR($B485="",$G485=""),"",$B485+VLOOKUP($G485,Oppsett!$H$4:$J$7,3,FALSE)/24)</f>
        <v/>
      </c>
      <c r="P485" s="8" t="n"/>
      <c r="Q485" s="8" t="n"/>
      <c r="R485">
        <f>IF($B485="","",IF($P485&lt;&gt;"",IF($P485&lt;=$N485,"OK","Påbegynt for sent"),IF(NOW()&gt;$N485,"FORFALT","Innen frist")))</f>
        <v/>
      </c>
      <c r="S485">
        <f>IF($B485="","",IF($Q485&lt;&gt;"",IF($Q485&lt;=$O485,"OK","Løst for sent"),IF(NOW()&gt;$O485,"FORFALT","Innen frist")))</f>
        <v/>
      </c>
      <c r="T485" s="10">
        <f>IF(OR($B485="",$Q485=""),"",ROUND(($Q485-$B485)*24,1))</f>
        <v/>
      </c>
    </row>
    <row r="486">
      <c r="A486">
        <f>IF($B486="","","SAK-"&amp;TEXT(ROW()-1,"0000"))</f>
        <v/>
      </c>
      <c r="B486" s="8">
        <f>IF($C486&amp;$H486="","",IF($B486="",NOW(),$B486))</f>
        <v/>
      </c>
      <c r="J486">
        <f>IF($F486="","",IFERROR(VLOOKUP($F486,Oppsett!$E$4:$F$11,2,FALSE),"– ikke tildelt –"))</f>
        <v/>
      </c>
      <c r="L486">
        <f>IF($B486="","",IF($K486&lt;&gt;"",$K486,$J486))</f>
        <v/>
      </c>
      <c r="N486" s="8">
        <f>IF(OR($B486="",$G486=""),"",$B486+VLOOKUP($G486,Oppsett!$H$4:$J$7,2,FALSE)/24)</f>
        <v/>
      </c>
      <c r="O486" s="8">
        <f>IF(OR($B486="",$G486=""),"",$B486+VLOOKUP($G486,Oppsett!$H$4:$J$7,3,FALSE)/24)</f>
        <v/>
      </c>
      <c r="P486" s="8" t="n"/>
      <c r="Q486" s="8" t="n"/>
      <c r="R486">
        <f>IF($B486="","",IF($P486&lt;&gt;"",IF($P486&lt;=$N486,"OK","Påbegynt for sent"),IF(NOW()&gt;$N486,"FORFALT","Innen frist")))</f>
        <v/>
      </c>
      <c r="S486">
        <f>IF($B486="","",IF($Q486&lt;&gt;"",IF($Q486&lt;=$O486,"OK","Løst for sent"),IF(NOW()&gt;$O486,"FORFALT","Innen frist")))</f>
        <v/>
      </c>
      <c r="T486" s="10">
        <f>IF(OR($B486="",$Q486=""),"",ROUND(($Q486-$B486)*24,1))</f>
        <v/>
      </c>
    </row>
    <row r="487">
      <c r="A487">
        <f>IF($B487="","","SAK-"&amp;TEXT(ROW()-1,"0000"))</f>
        <v/>
      </c>
      <c r="B487" s="8">
        <f>IF($C487&amp;$H487="","",IF($B487="",NOW(),$B487))</f>
        <v/>
      </c>
      <c r="J487">
        <f>IF($F487="","",IFERROR(VLOOKUP($F487,Oppsett!$E$4:$F$11,2,FALSE),"– ikke tildelt –"))</f>
        <v/>
      </c>
      <c r="L487">
        <f>IF($B487="","",IF($K487&lt;&gt;"",$K487,$J487))</f>
        <v/>
      </c>
      <c r="N487" s="8">
        <f>IF(OR($B487="",$G487=""),"",$B487+VLOOKUP($G487,Oppsett!$H$4:$J$7,2,FALSE)/24)</f>
        <v/>
      </c>
      <c r="O487" s="8">
        <f>IF(OR($B487="",$G487=""),"",$B487+VLOOKUP($G487,Oppsett!$H$4:$J$7,3,FALSE)/24)</f>
        <v/>
      </c>
      <c r="P487" s="8" t="n"/>
      <c r="Q487" s="8" t="n"/>
      <c r="R487">
        <f>IF($B487="","",IF($P487&lt;&gt;"",IF($P487&lt;=$N487,"OK","Påbegynt for sent"),IF(NOW()&gt;$N487,"FORFALT","Innen frist")))</f>
        <v/>
      </c>
      <c r="S487">
        <f>IF($B487="","",IF($Q487&lt;&gt;"",IF($Q487&lt;=$O487,"OK","Løst for sent"),IF(NOW()&gt;$O487,"FORFALT","Innen frist")))</f>
        <v/>
      </c>
      <c r="T487" s="10">
        <f>IF(OR($B487="",$Q487=""),"",ROUND(($Q487-$B487)*24,1))</f>
        <v/>
      </c>
    </row>
    <row r="488">
      <c r="A488">
        <f>IF($B488="","","SAK-"&amp;TEXT(ROW()-1,"0000"))</f>
        <v/>
      </c>
      <c r="B488" s="8">
        <f>IF($C488&amp;$H488="","",IF($B488="",NOW(),$B488))</f>
        <v/>
      </c>
      <c r="J488">
        <f>IF($F488="","",IFERROR(VLOOKUP($F488,Oppsett!$E$4:$F$11,2,FALSE),"– ikke tildelt –"))</f>
        <v/>
      </c>
      <c r="L488">
        <f>IF($B488="","",IF($K488&lt;&gt;"",$K488,$J488))</f>
        <v/>
      </c>
      <c r="N488" s="8">
        <f>IF(OR($B488="",$G488=""),"",$B488+VLOOKUP($G488,Oppsett!$H$4:$J$7,2,FALSE)/24)</f>
        <v/>
      </c>
      <c r="O488" s="8">
        <f>IF(OR($B488="",$G488=""),"",$B488+VLOOKUP($G488,Oppsett!$H$4:$J$7,3,FALSE)/24)</f>
        <v/>
      </c>
      <c r="P488" s="8" t="n"/>
      <c r="Q488" s="8" t="n"/>
      <c r="R488">
        <f>IF($B488="","",IF($P488&lt;&gt;"",IF($P488&lt;=$N488,"OK","Påbegynt for sent"),IF(NOW()&gt;$N488,"FORFALT","Innen frist")))</f>
        <v/>
      </c>
      <c r="S488">
        <f>IF($B488="","",IF($Q488&lt;&gt;"",IF($Q488&lt;=$O488,"OK","Løst for sent"),IF(NOW()&gt;$O488,"FORFALT","Innen frist")))</f>
        <v/>
      </c>
      <c r="T488" s="10">
        <f>IF(OR($B488="",$Q488=""),"",ROUND(($Q488-$B488)*24,1))</f>
        <v/>
      </c>
    </row>
    <row r="489">
      <c r="A489">
        <f>IF($B489="","","SAK-"&amp;TEXT(ROW()-1,"0000"))</f>
        <v/>
      </c>
      <c r="B489" s="8">
        <f>IF($C489&amp;$H489="","",IF($B489="",NOW(),$B489))</f>
        <v/>
      </c>
      <c r="J489">
        <f>IF($F489="","",IFERROR(VLOOKUP($F489,Oppsett!$E$4:$F$11,2,FALSE),"– ikke tildelt –"))</f>
        <v/>
      </c>
      <c r="L489">
        <f>IF($B489="","",IF($K489&lt;&gt;"",$K489,$J489))</f>
        <v/>
      </c>
      <c r="N489" s="8">
        <f>IF(OR($B489="",$G489=""),"",$B489+VLOOKUP($G489,Oppsett!$H$4:$J$7,2,FALSE)/24)</f>
        <v/>
      </c>
      <c r="O489" s="8">
        <f>IF(OR($B489="",$G489=""),"",$B489+VLOOKUP($G489,Oppsett!$H$4:$J$7,3,FALSE)/24)</f>
        <v/>
      </c>
      <c r="P489" s="8" t="n"/>
      <c r="Q489" s="8" t="n"/>
      <c r="R489">
        <f>IF($B489="","",IF($P489&lt;&gt;"",IF($P489&lt;=$N489,"OK","Påbegynt for sent"),IF(NOW()&gt;$N489,"FORFALT","Innen frist")))</f>
        <v/>
      </c>
      <c r="S489">
        <f>IF($B489="","",IF($Q489&lt;&gt;"",IF($Q489&lt;=$O489,"OK","Løst for sent"),IF(NOW()&gt;$O489,"FORFALT","Innen frist")))</f>
        <v/>
      </c>
      <c r="T489" s="10">
        <f>IF(OR($B489="",$Q489=""),"",ROUND(($Q489-$B489)*24,1))</f>
        <v/>
      </c>
    </row>
    <row r="490">
      <c r="A490">
        <f>IF($B490="","","SAK-"&amp;TEXT(ROW()-1,"0000"))</f>
        <v/>
      </c>
      <c r="B490" s="8">
        <f>IF($C490&amp;$H490="","",IF($B490="",NOW(),$B490))</f>
        <v/>
      </c>
      <c r="J490">
        <f>IF($F490="","",IFERROR(VLOOKUP($F490,Oppsett!$E$4:$F$11,2,FALSE),"– ikke tildelt –"))</f>
        <v/>
      </c>
      <c r="L490">
        <f>IF($B490="","",IF($K490&lt;&gt;"",$K490,$J490))</f>
        <v/>
      </c>
      <c r="N490" s="8">
        <f>IF(OR($B490="",$G490=""),"",$B490+VLOOKUP($G490,Oppsett!$H$4:$J$7,2,FALSE)/24)</f>
        <v/>
      </c>
      <c r="O490" s="8">
        <f>IF(OR($B490="",$G490=""),"",$B490+VLOOKUP($G490,Oppsett!$H$4:$J$7,3,FALSE)/24)</f>
        <v/>
      </c>
      <c r="P490" s="8" t="n"/>
      <c r="Q490" s="8" t="n"/>
      <c r="R490">
        <f>IF($B490="","",IF($P490&lt;&gt;"",IF($P490&lt;=$N490,"OK","Påbegynt for sent"),IF(NOW()&gt;$N490,"FORFALT","Innen frist")))</f>
        <v/>
      </c>
      <c r="S490">
        <f>IF($B490="","",IF($Q490&lt;&gt;"",IF($Q490&lt;=$O490,"OK","Løst for sent"),IF(NOW()&gt;$O490,"FORFALT","Innen frist")))</f>
        <v/>
      </c>
      <c r="T490" s="10">
        <f>IF(OR($B490="",$Q490=""),"",ROUND(($Q490-$B490)*24,1))</f>
        <v/>
      </c>
    </row>
    <row r="491">
      <c r="A491">
        <f>IF($B491="","","SAK-"&amp;TEXT(ROW()-1,"0000"))</f>
        <v/>
      </c>
      <c r="B491" s="8">
        <f>IF($C491&amp;$H491="","",IF($B491="",NOW(),$B491))</f>
        <v/>
      </c>
      <c r="J491">
        <f>IF($F491="","",IFERROR(VLOOKUP($F491,Oppsett!$E$4:$F$11,2,FALSE),"– ikke tildelt –"))</f>
        <v/>
      </c>
      <c r="L491">
        <f>IF($B491="","",IF($K491&lt;&gt;"",$K491,$J491))</f>
        <v/>
      </c>
      <c r="N491" s="8">
        <f>IF(OR($B491="",$G491=""),"",$B491+VLOOKUP($G491,Oppsett!$H$4:$J$7,2,FALSE)/24)</f>
        <v/>
      </c>
      <c r="O491" s="8">
        <f>IF(OR($B491="",$G491=""),"",$B491+VLOOKUP($G491,Oppsett!$H$4:$J$7,3,FALSE)/24)</f>
        <v/>
      </c>
      <c r="P491" s="8" t="n"/>
      <c r="Q491" s="8" t="n"/>
      <c r="R491">
        <f>IF($B491="","",IF($P491&lt;&gt;"",IF($P491&lt;=$N491,"OK","Påbegynt for sent"),IF(NOW()&gt;$N491,"FORFALT","Innen frist")))</f>
        <v/>
      </c>
      <c r="S491">
        <f>IF($B491="","",IF($Q491&lt;&gt;"",IF($Q491&lt;=$O491,"OK","Løst for sent"),IF(NOW()&gt;$O491,"FORFALT","Innen frist")))</f>
        <v/>
      </c>
      <c r="T491" s="10">
        <f>IF(OR($B491="",$Q491=""),"",ROUND(($Q491-$B491)*24,1))</f>
        <v/>
      </c>
    </row>
    <row r="492">
      <c r="A492">
        <f>IF($B492="","","SAK-"&amp;TEXT(ROW()-1,"0000"))</f>
        <v/>
      </c>
      <c r="B492" s="8">
        <f>IF($C492&amp;$H492="","",IF($B492="",NOW(),$B492))</f>
        <v/>
      </c>
      <c r="J492">
        <f>IF($F492="","",IFERROR(VLOOKUP($F492,Oppsett!$E$4:$F$11,2,FALSE),"– ikke tildelt –"))</f>
        <v/>
      </c>
      <c r="L492">
        <f>IF($B492="","",IF($K492&lt;&gt;"",$K492,$J492))</f>
        <v/>
      </c>
      <c r="N492" s="8">
        <f>IF(OR($B492="",$G492=""),"",$B492+VLOOKUP($G492,Oppsett!$H$4:$J$7,2,FALSE)/24)</f>
        <v/>
      </c>
      <c r="O492" s="8">
        <f>IF(OR($B492="",$G492=""),"",$B492+VLOOKUP($G492,Oppsett!$H$4:$J$7,3,FALSE)/24)</f>
        <v/>
      </c>
      <c r="P492" s="8" t="n"/>
      <c r="Q492" s="8" t="n"/>
      <c r="R492">
        <f>IF($B492="","",IF($P492&lt;&gt;"",IF($P492&lt;=$N492,"OK","Påbegynt for sent"),IF(NOW()&gt;$N492,"FORFALT","Innen frist")))</f>
        <v/>
      </c>
      <c r="S492">
        <f>IF($B492="","",IF($Q492&lt;&gt;"",IF($Q492&lt;=$O492,"OK","Løst for sent"),IF(NOW()&gt;$O492,"FORFALT","Innen frist")))</f>
        <v/>
      </c>
      <c r="T492" s="10">
        <f>IF(OR($B492="",$Q492=""),"",ROUND(($Q492-$B492)*24,1))</f>
        <v/>
      </c>
    </row>
    <row r="493">
      <c r="A493">
        <f>IF($B493="","","SAK-"&amp;TEXT(ROW()-1,"0000"))</f>
        <v/>
      </c>
      <c r="B493" s="8">
        <f>IF($C493&amp;$H493="","",IF($B493="",NOW(),$B493))</f>
        <v/>
      </c>
      <c r="J493">
        <f>IF($F493="","",IFERROR(VLOOKUP($F493,Oppsett!$E$4:$F$11,2,FALSE),"– ikke tildelt –"))</f>
        <v/>
      </c>
      <c r="L493">
        <f>IF($B493="","",IF($K493&lt;&gt;"",$K493,$J493))</f>
        <v/>
      </c>
      <c r="N493" s="8">
        <f>IF(OR($B493="",$G493=""),"",$B493+VLOOKUP($G493,Oppsett!$H$4:$J$7,2,FALSE)/24)</f>
        <v/>
      </c>
      <c r="O493" s="8">
        <f>IF(OR($B493="",$G493=""),"",$B493+VLOOKUP($G493,Oppsett!$H$4:$J$7,3,FALSE)/24)</f>
        <v/>
      </c>
      <c r="P493" s="8" t="n"/>
      <c r="Q493" s="8" t="n"/>
      <c r="R493">
        <f>IF($B493="","",IF($P493&lt;&gt;"",IF($P493&lt;=$N493,"OK","Påbegynt for sent"),IF(NOW()&gt;$N493,"FORFALT","Innen frist")))</f>
        <v/>
      </c>
      <c r="S493">
        <f>IF($B493="","",IF($Q493&lt;&gt;"",IF($Q493&lt;=$O493,"OK","Løst for sent"),IF(NOW()&gt;$O493,"FORFALT","Innen frist")))</f>
        <v/>
      </c>
      <c r="T493" s="10">
        <f>IF(OR($B493="",$Q493=""),"",ROUND(($Q493-$B493)*24,1))</f>
        <v/>
      </c>
    </row>
    <row r="494">
      <c r="A494">
        <f>IF($B494="","","SAK-"&amp;TEXT(ROW()-1,"0000"))</f>
        <v/>
      </c>
      <c r="B494" s="8">
        <f>IF($C494&amp;$H494="","",IF($B494="",NOW(),$B494))</f>
        <v/>
      </c>
      <c r="J494">
        <f>IF($F494="","",IFERROR(VLOOKUP($F494,Oppsett!$E$4:$F$11,2,FALSE),"– ikke tildelt –"))</f>
        <v/>
      </c>
      <c r="L494">
        <f>IF($B494="","",IF($K494&lt;&gt;"",$K494,$J494))</f>
        <v/>
      </c>
      <c r="N494" s="8">
        <f>IF(OR($B494="",$G494=""),"",$B494+VLOOKUP($G494,Oppsett!$H$4:$J$7,2,FALSE)/24)</f>
        <v/>
      </c>
      <c r="O494" s="8">
        <f>IF(OR($B494="",$G494=""),"",$B494+VLOOKUP($G494,Oppsett!$H$4:$J$7,3,FALSE)/24)</f>
        <v/>
      </c>
      <c r="P494" s="8" t="n"/>
      <c r="Q494" s="8" t="n"/>
      <c r="R494">
        <f>IF($B494="","",IF($P494&lt;&gt;"",IF($P494&lt;=$N494,"OK","Påbegynt for sent"),IF(NOW()&gt;$N494,"FORFALT","Innen frist")))</f>
        <v/>
      </c>
      <c r="S494">
        <f>IF($B494="","",IF($Q494&lt;&gt;"",IF($Q494&lt;=$O494,"OK","Løst for sent"),IF(NOW()&gt;$O494,"FORFALT","Innen frist")))</f>
        <v/>
      </c>
      <c r="T494" s="10">
        <f>IF(OR($B494="",$Q494=""),"",ROUND(($Q494-$B494)*24,1))</f>
        <v/>
      </c>
    </row>
    <row r="495">
      <c r="A495">
        <f>IF($B495="","","SAK-"&amp;TEXT(ROW()-1,"0000"))</f>
        <v/>
      </c>
      <c r="B495" s="8">
        <f>IF($C495&amp;$H495="","",IF($B495="",NOW(),$B495))</f>
        <v/>
      </c>
      <c r="J495">
        <f>IF($F495="","",IFERROR(VLOOKUP($F495,Oppsett!$E$4:$F$11,2,FALSE),"– ikke tildelt –"))</f>
        <v/>
      </c>
      <c r="L495">
        <f>IF($B495="","",IF($K495&lt;&gt;"",$K495,$J495))</f>
        <v/>
      </c>
      <c r="N495" s="8">
        <f>IF(OR($B495="",$G495=""),"",$B495+VLOOKUP($G495,Oppsett!$H$4:$J$7,2,FALSE)/24)</f>
        <v/>
      </c>
      <c r="O495" s="8">
        <f>IF(OR($B495="",$G495=""),"",$B495+VLOOKUP($G495,Oppsett!$H$4:$J$7,3,FALSE)/24)</f>
        <v/>
      </c>
      <c r="P495" s="8" t="n"/>
      <c r="Q495" s="8" t="n"/>
      <c r="R495">
        <f>IF($B495="","",IF($P495&lt;&gt;"",IF($P495&lt;=$N495,"OK","Påbegynt for sent"),IF(NOW()&gt;$N495,"FORFALT","Innen frist")))</f>
        <v/>
      </c>
      <c r="S495">
        <f>IF($B495="","",IF($Q495&lt;&gt;"",IF($Q495&lt;=$O495,"OK","Løst for sent"),IF(NOW()&gt;$O495,"FORFALT","Innen frist")))</f>
        <v/>
      </c>
      <c r="T495" s="10">
        <f>IF(OR($B495="",$Q495=""),"",ROUND(($Q495-$B495)*24,1))</f>
        <v/>
      </c>
    </row>
    <row r="496">
      <c r="A496">
        <f>IF($B496="","","SAK-"&amp;TEXT(ROW()-1,"0000"))</f>
        <v/>
      </c>
      <c r="B496" s="8">
        <f>IF($C496&amp;$H496="","",IF($B496="",NOW(),$B496))</f>
        <v/>
      </c>
      <c r="J496">
        <f>IF($F496="","",IFERROR(VLOOKUP($F496,Oppsett!$E$4:$F$11,2,FALSE),"– ikke tildelt –"))</f>
        <v/>
      </c>
      <c r="L496">
        <f>IF($B496="","",IF($K496&lt;&gt;"",$K496,$J496))</f>
        <v/>
      </c>
      <c r="N496" s="8">
        <f>IF(OR($B496="",$G496=""),"",$B496+VLOOKUP($G496,Oppsett!$H$4:$J$7,2,FALSE)/24)</f>
        <v/>
      </c>
      <c r="O496" s="8">
        <f>IF(OR($B496="",$G496=""),"",$B496+VLOOKUP($G496,Oppsett!$H$4:$J$7,3,FALSE)/24)</f>
        <v/>
      </c>
      <c r="P496" s="8" t="n"/>
      <c r="Q496" s="8" t="n"/>
      <c r="R496">
        <f>IF($B496="","",IF($P496&lt;&gt;"",IF($P496&lt;=$N496,"OK","Påbegynt for sent"),IF(NOW()&gt;$N496,"FORFALT","Innen frist")))</f>
        <v/>
      </c>
      <c r="S496">
        <f>IF($B496="","",IF($Q496&lt;&gt;"",IF($Q496&lt;=$O496,"OK","Løst for sent"),IF(NOW()&gt;$O496,"FORFALT","Innen frist")))</f>
        <v/>
      </c>
      <c r="T496" s="10">
        <f>IF(OR($B496="",$Q496=""),"",ROUND(($Q496-$B496)*24,1))</f>
        <v/>
      </c>
    </row>
    <row r="497">
      <c r="A497">
        <f>IF($B497="","","SAK-"&amp;TEXT(ROW()-1,"0000"))</f>
        <v/>
      </c>
      <c r="B497" s="8">
        <f>IF($C497&amp;$H497="","",IF($B497="",NOW(),$B497))</f>
        <v/>
      </c>
      <c r="J497">
        <f>IF($F497="","",IFERROR(VLOOKUP($F497,Oppsett!$E$4:$F$11,2,FALSE),"– ikke tildelt –"))</f>
        <v/>
      </c>
      <c r="L497">
        <f>IF($B497="","",IF($K497&lt;&gt;"",$K497,$J497))</f>
        <v/>
      </c>
      <c r="N497" s="8">
        <f>IF(OR($B497="",$G497=""),"",$B497+VLOOKUP($G497,Oppsett!$H$4:$J$7,2,FALSE)/24)</f>
        <v/>
      </c>
      <c r="O497" s="8">
        <f>IF(OR($B497="",$G497=""),"",$B497+VLOOKUP($G497,Oppsett!$H$4:$J$7,3,FALSE)/24)</f>
        <v/>
      </c>
      <c r="P497" s="8" t="n"/>
      <c r="Q497" s="8" t="n"/>
      <c r="R497">
        <f>IF($B497="","",IF($P497&lt;&gt;"",IF($P497&lt;=$N497,"OK","Påbegynt for sent"),IF(NOW()&gt;$N497,"FORFALT","Innen frist")))</f>
        <v/>
      </c>
      <c r="S497">
        <f>IF($B497="","",IF($Q497&lt;&gt;"",IF($Q497&lt;=$O497,"OK","Løst for sent"),IF(NOW()&gt;$O497,"FORFALT","Innen frist")))</f>
        <v/>
      </c>
      <c r="T497" s="10">
        <f>IF(OR($B497="",$Q497=""),"",ROUND(($Q497-$B497)*24,1))</f>
        <v/>
      </c>
    </row>
    <row r="498">
      <c r="A498">
        <f>IF($B498="","","SAK-"&amp;TEXT(ROW()-1,"0000"))</f>
        <v/>
      </c>
      <c r="B498" s="8">
        <f>IF($C498&amp;$H498="","",IF($B498="",NOW(),$B498))</f>
        <v/>
      </c>
      <c r="J498">
        <f>IF($F498="","",IFERROR(VLOOKUP($F498,Oppsett!$E$4:$F$11,2,FALSE),"– ikke tildelt –"))</f>
        <v/>
      </c>
      <c r="L498">
        <f>IF($B498="","",IF($K498&lt;&gt;"",$K498,$J498))</f>
        <v/>
      </c>
      <c r="N498" s="8">
        <f>IF(OR($B498="",$G498=""),"",$B498+VLOOKUP($G498,Oppsett!$H$4:$J$7,2,FALSE)/24)</f>
        <v/>
      </c>
      <c r="O498" s="8">
        <f>IF(OR($B498="",$G498=""),"",$B498+VLOOKUP($G498,Oppsett!$H$4:$J$7,3,FALSE)/24)</f>
        <v/>
      </c>
      <c r="P498" s="8" t="n"/>
      <c r="Q498" s="8" t="n"/>
      <c r="R498">
        <f>IF($B498="","",IF($P498&lt;&gt;"",IF($P498&lt;=$N498,"OK","Påbegynt for sent"),IF(NOW()&gt;$N498,"FORFALT","Innen frist")))</f>
        <v/>
      </c>
      <c r="S498">
        <f>IF($B498="","",IF($Q498&lt;&gt;"",IF($Q498&lt;=$O498,"OK","Løst for sent"),IF(NOW()&gt;$O498,"FORFALT","Innen frist")))</f>
        <v/>
      </c>
      <c r="T498" s="10">
        <f>IF(OR($B498="",$Q498=""),"",ROUND(($Q498-$B498)*24,1))</f>
        <v/>
      </c>
    </row>
    <row r="499">
      <c r="A499">
        <f>IF($B499="","","SAK-"&amp;TEXT(ROW()-1,"0000"))</f>
        <v/>
      </c>
      <c r="B499" s="8">
        <f>IF($C499&amp;$H499="","",IF($B499="",NOW(),$B499))</f>
        <v/>
      </c>
      <c r="J499">
        <f>IF($F499="","",IFERROR(VLOOKUP($F499,Oppsett!$E$4:$F$11,2,FALSE),"– ikke tildelt –"))</f>
        <v/>
      </c>
      <c r="L499">
        <f>IF($B499="","",IF($K499&lt;&gt;"",$K499,$J499))</f>
        <v/>
      </c>
      <c r="N499" s="8">
        <f>IF(OR($B499="",$G499=""),"",$B499+VLOOKUP($G499,Oppsett!$H$4:$J$7,2,FALSE)/24)</f>
        <v/>
      </c>
      <c r="O499" s="8">
        <f>IF(OR($B499="",$G499=""),"",$B499+VLOOKUP($G499,Oppsett!$H$4:$J$7,3,FALSE)/24)</f>
        <v/>
      </c>
      <c r="P499" s="8" t="n"/>
      <c r="Q499" s="8" t="n"/>
      <c r="R499">
        <f>IF($B499="","",IF($P499&lt;&gt;"",IF($P499&lt;=$N499,"OK","Påbegynt for sent"),IF(NOW()&gt;$N499,"FORFALT","Innen frist")))</f>
        <v/>
      </c>
      <c r="S499">
        <f>IF($B499="","",IF($Q499&lt;&gt;"",IF($Q499&lt;=$O499,"OK","Løst for sent"),IF(NOW()&gt;$O499,"FORFALT","Innen frist")))</f>
        <v/>
      </c>
      <c r="T499" s="10">
        <f>IF(OR($B499="",$Q499=""),"",ROUND(($Q499-$B499)*24,1))</f>
        <v/>
      </c>
    </row>
    <row r="500">
      <c r="A500">
        <f>IF($B500="","","SAK-"&amp;TEXT(ROW()-1,"0000"))</f>
        <v/>
      </c>
      <c r="B500" s="8">
        <f>IF($C500&amp;$H500="","",IF($B500="",NOW(),$B500))</f>
        <v/>
      </c>
      <c r="J500">
        <f>IF($F500="","",IFERROR(VLOOKUP($F500,Oppsett!$E$4:$F$11,2,FALSE),"– ikke tildelt –"))</f>
        <v/>
      </c>
      <c r="L500">
        <f>IF($B500="","",IF($K500&lt;&gt;"",$K500,$J500))</f>
        <v/>
      </c>
      <c r="N500" s="8">
        <f>IF(OR($B500="",$G500=""),"",$B500+VLOOKUP($G500,Oppsett!$H$4:$J$7,2,FALSE)/24)</f>
        <v/>
      </c>
      <c r="O500" s="8">
        <f>IF(OR($B500="",$G500=""),"",$B500+VLOOKUP($G500,Oppsett!$H$4:$J$7,3,FALSE)/24)</f>
        <v/>
      </c>
      <c r="P500" s="8" t="n"/>
      <c r="Q500" s="8" t="n"/>
      <c r="R500">
        <f>IF($B500="","",IF($P500&lt;&gt;"",IF($P500&lt;=$N500,"OK","Påbegynt for sent"),IF(NOW()&gt;$N500,"FORFALT","Innen frist")))</f>
        <v/>
      </c>
      <c r="S500">
        <f>IF($B500="","",IF($Q500&lt;&gt;"",IF($Q500&lt;=$O500,"OK","Løst for sent"),IF(NOW()&gt;$O500,"FORFALT","Innen frist")))</f>
        <v/>
      </c>
      <c r="T500" s="10">
        <f>IF(OR($B500="",$Q500=""),"",ROUND(($Q500-$B500)*24,1))</f>
        <v/>
      </c>
    </row>
    <row r="501">
      <c r="A501">
        <f>IF($B501="","","SAK-"&amp;TEXT(ROW()-1,"0000"))</f>
        <v/>
      </c>
      <c r="B501" s="8">
        <f>IF($C501&amp;$H501="","",IF($B501="",NOW(),$B501))</f>
        <v/>
      </c>
      <c r="J501">
        <f>IF($F501="","",IFERROR(VLOOKUP($F501,Oppsett!$E$4:$F$11,2,FALSE),"– ikke tildelt –"))</f>
        <v/>
      </c>
      <c r="L501">
        <f>IF($B501="","",IF($K501&lt;&gt;"",$K501,$J501))</f>
        <v/>
      </c>
      <c r="N501" s="8">
        <f>IF(OR($B501="",$G501=""),"",$B501+VLOOKUP($G501,Oppsett!$H$4:$J$7,2,FALSE)/24)</f>
        <v/>
      </c>
      <c r="O501" s="8">
        <f>IF(OR($B501="",$G501=""),"",$B501+VLOOKUP($G501,Oppsett!$H$4:$J$7,3,FALSE)/24)</f>
        <v/>
      </c>
      <c r="P501" s="8" t="n"/>
      <c r="Q501" s="8" t="n"/>
      <c r="R501">
        <f>IF($B501="","",IF($P501&lt;&gt;"",IF($P501&lt;=$N501,"OK","Påbegynt for sent"),IF(NOW()&gt;$N501,"FORFALT","Innen frist")))</f>
        <v/>
      </c>
      <c r="S501">
        <f>IF($B501="","",IF($Q501&lt;&gt;"",IF($Q501&lt;=$O501,"OK","Løst for sent"),IF(NOW()&gt;$O501,"FORFALT","Innen frist")))</f>
        <v/>
      </c>
      <c r="T501" s="10">
        <f>IF(OR($B501="",$Q501=""),"",ROUND(($Q501-$B501)*24,1))</f>
        <v/>
      </c>
    </row>
  </sheetData>
  <conditionalFormatting sqref="M2:M501">
    <cfRule type="expression" priority="1" dxfId="0" stopIfTrue="0">
      <formula>$M2="Løst"</formula>
    </cfRule>
    <cfRule type="expression" priority="2" dxfId="1" stopIfTrue="0">
      <formula>$M2="Lukket"</formula>
    </cfRule>
    <cfRule type="expression" priority="3" dxfId="2" stopIfTrue="0">
      <formula>$M2="Ny"</formula>
    </cfRule>
    <cfRule type="expression" priority="4" dxfId="3" stopIfTrue="0">
      <formula>LEFT($M2,6)="Venter"</formula>
    </cfRule>
  </conditionalFormatting>
  <conditionalFormatting sqref="G2:G501">
    <cfRule type="expression" priority="5" dxfId="4" stopIfTrue="0">
      <formula>$G2="Kritisk"</formula>
    </cfRule>
  </conditionalFormatting>
  <conditionalFormatting sqref="R2:R501">
    <cfRule type="expression" priority="6" dxfId="4" stopIfTrue="1">
      <formula>ISNUMBER(SEARCH("FORFALT",R2))</formula>
    </cfRule>
    <cfRule type="expression" priority="7" dxfId="0" stopIfTrue="0">
      <formula>R2="OK"</formula>
    </cfRule>
    <cfRule type="expression" priority="8" dxfId="5" stopIfTrue="0">
      <formula>R2="Påbegynt for sent"</formula>
    </cfRule>
    <cfRule type="expression" priority="9" dxfId="5" stopIfTrue="0">
      <formula>R2="Løst for sent"</formula>
    </cfRule>
  </conditionalFormatting>
  <conditionalFormatting sqref="S2:S501">
    <cfRule type="expression" priority="10" dxfId="4" stopIfTrue="1">
      <formula>ISNUMBER(SEARCH("FORFALT",S2))</formula>
    </cfRule>
    <cfRule type="expression" priority="11" dxfId="0" stopIfTrue="0">
      <formula>S2="OK"</formula>
    </cfRule>
    <cfRule type="expression" priority="12" dxfId="5" stopIfTrue="0">
      <formula>S2="Påbegynt for sent"</formula>
    </cfRule>
    <cfRule type="expression" priority="13" dxfId="5" stopIfTrue="0">
      <formula>S2="Løst for sent"</formula>
    </cfRule>
  </conditionalFormatting>
  <dataValidations count="7">
    <dataValidation sqref="E2:E501" showDropDown="0" showInputMessage="0" showErrorMessage="0" allowBlank="1" type="list">
      <formula1>=Kanaler</formula1>
    </dataValidation>
    <dataValidation sqref="F2:F501" showDropDown="0" showInputMessage="0" showErrorMessage="0" allowBlank="1" type="list">
      <formula1>=Kategorier</formula1>
    </dataValidation>
    <dataValidation sqref="G2:G501" showDropDown="0" showInputMessage="0" showErrorMessage="0" allowBlank="1" type="list">
      <formula1>=Prioriteter</formula1>
    </dataValidation>
    <dataValidation sqref="K2:K501" showDropDown="0" showInputMessage="0" showErrorMessage="0" allowBlank="1" type="list">
      <formula1>=Ansatte</formula1>
    </dataValidation>
    <dataValidation sqref="M2:M501" showDropDown="0" showInputMessage="0" showErrorMessage="0" allowBlank="1" type="list">
      <formula1>=Statuser</formula1>
    </dataValidation>
    <dataValidation sqref="W2:W501" showDropDown="0" showInputMessage="0" showErrorMessage="0" allowBlank="1" type="list">
      <formula1>"Ja,Nei"</formula1>
    </dataValidation>
    <dataValidation sqref="B2:B501 P2:P501 Q2:Q501" showDropDown="0" showInputMessage="1" showErrorMessage="1" allowBlank="1" errorTitle="Datoformat" error="Ugyldig dato. Bruk formatet 04.09.2026 09:30" promptTitle="Dato og klokkeslett" prompt="'Opprettet' fylles automatisk når du skriver Innmelder eller Tittel. Vil du overstyre: skriv dato og tid slik: 04.09.2026 09:30" type="date" operator="greaterThan">
      <formula1>DATE(2020,1,1)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K7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0" customWidth="1" min="3" max="3"/>
    <col width="48" customWidth="1" min="4" max="4"/>
    <col width="68" customWidth="1" min="5" max="5"/>
    <col width="34" customWidth="1" min="6" max="6"/>
    <col width="16" customWidth="1" min="7" max="7"/>
    <col width="12" customWidth="1" min="8" max="8"/>
    <col width="12" customWidth="1" min="9" max="9"/>
    <col width="11" customWidth="1" min="10" max="10"/>
    <col width="14" customWidth="1" min="11" max="11"/>
  </cols>
  <sheetData>
    <row r="1">
      <c r="A1" s="1" t="inlineStr">
        <is>
          <t>Søk etter løsninger</t>
        </is>
      </c>
    </row>
    <row r="2">
      <c r="A2" s="2" t="inlineStr">
        <is>
          <t>Tips: Søk alltid her før du åpner en ny sak – kanskje løsningen finnes allerede.</t>
        </is>
      </c>
    </row>
    <row r="4">
      <c r="A4" s="6" t="inlineStr">
        <is>
          <t>1) Søk i kunnskapsbasen (FAQ)</t>
        </is>
      </c>
    </row>
    <row r="5">
      <c r="A5" t="inlineStr">
        <is>
          <t>Søkeord:</t>
        </is>
      </c>
      <c r="B5" s="11" t="n"/>
    </row>
    <row r="6">
      <c r="A6" t="inlineStr">
        <is>
          <t>Kategori (valgfri):</t>
        </is>
      </c>
      <c r="B6" s="11" t="n"/>
    </row>
    <row r="8">
      <c r="A8" s="3" t="inlineStr">
        <is>
          <t>KB-ID</t>
        </is>
      </c>
      <c r="B8" s="3" t="inlineStr">
        <is>
          <t>Tittel</t>
        </is>
      </c>
      <c r="C8" s="3" t="inlineStr">
        <is>
          <t>Kategori</t>
        </is>
      </c>
      <c r="D8" s="3" t="inlineStr">
        <is>
          <t>Problem</t>
        </is>
      </c>
      <c r="E8" s="3" t="inlineStr">
        <is>
          <t>Løsning</t>
        </is>
      </c>
      <c r="F8" s="3" t="inlineStr">
        <is>
          <t>Nøkkelord</t>
        </is>
      </c>
      <c r="G8" s="3" t="inlineStr">
        <is>
          <t>Opprettet av</t>
        </is>
      </c>
      <c r="H8" s="3" t="inlineStr">
        <is>
          <t>Dato</t>
        </is>
      </c>
      <c r="I8" s="3" t="inlineStr">
        <is>
          <t>Antall bruk</t>
        </is>
      </c>
      <c r="J8" s="3" t="inlineStr">
        <is>
          <t>Vurdering</t>
        </is>
      </c>
      <c r="K8" s="3" t="inlineStr">
        <is>
          <t>Basert på sak</t>
        </is>
      </c>
    </row>
    <row r="9">
      <c r="A9">
        <f>IF($B$5="","Skriv inn ett eller flere søkeord (f.eks. wifi, passord, outlook) for å søke i kunnskapsbasen.",_xlfn._xlws.FILTER(tblKB,ISNUMBER(SEARCH($B$5,tblKB[Tittel]&amp;" "&amp;tblKB[Problem]&amp;" "&amp;tblKB[Løsning]&amp;" "&amp;tblKB[Nøkkelord]))*IF($B$6="",1,tblKB[Kategori]=$B$6),"Ingen treff – prøv andre søkeord."))</f>
        <v/>
      </c>
      <c r="H9" s="12" t="n"/>
    </row>
    <row r="10">
      <c r="H10" s="12" t="n"/>
    </row>
    <row r="11">
      <c r="H11" s="12" t="n"/>
    </row>
    <row r="12">
      <c r="H12" s="12" t="n"/>
    </row>
    <row r="13">
      <c r="H13" s="12" t="n"/>
    </row>
    <row r="14">
      <c r="H14" s="12" t="n"/>
    </row>
    <row r="15">
      <c r="H15" s="12" t="n"/>
    </row>
    <row r="16">
      <c r="H16" s="12" t="n"/>
    </row>
    <row r="17">
      <c r="H17" s="12" t="n"/>
    </row>
    <row r="18">
      <c r="H18" s="12" t="n"/>
    </row>
    <row r="19">
      <c r="H19" s="12" t="n"/>
    </row>
    <row r="20">
      <c r="H20" s="12" t="n"/>
    </row>
    <row r="21">
      <c r="H21" s="12" t="n"/>
    </row>
    <row r="22">
      <c r="H22" s="12" t="n"/>
    </row>
    <row r="23">
      <c r="H23" s="12" t="n"/>
    </row>
    <row r="25">
      <c r="A25" s="6" t="inlineStr">
        <is>
          <t>2) Søk i tidligere løste saker</t>
        </is>
      </c>
    </row>
    <row r="26">
      <c r="A26" t="inlineStr">
        <is>
          <t>Søkeord:</t>
        </is>
      </c>
      <c r="B26" s="11" t="n"/>
    </row>
    <row r="28">
      <c r="A28" s="3" t="inlineStr">
        <is>
          <t>Saksnr</t>
        </is>
      </c>
      <c r="B28" s="3" t="inlineStr">
        <is>
          <t>Opprettet</t>
        </is>
      </c>
      <c r="C28" s="3" t="inlineStr">
        <is>
          <t>Kategori</t>
        </is>
      </c>
      <c r="D28" s="3" t="inlineStr">
        <is>
          <t>Tittel</t>
        </is>
      </c>
      <c r="E28" s="3" t="inlineStr">
        <is>
          <t>Løsning</t>
        </is>
      </c>
      <c r="F28" s="3" t="inlineStr">
        <is>
          <t>KB-ref</t>
        </is>
      </c>
    </row>
    <row r="29">
      <c r="A29">
        <f>IF($B$26="","Skriv inn søkeord for å søke i løste saker.",_xlfn._xlws.FILTER(_xlfn.HSTACK(tblSaker[Saksnr],tblSaker[Opprettet],tblSaker[Kategori],tblSaker[Tittel],tblSaker[Løsning],tblSaker[KB-ref]),ISNUMBER(SEARCH($B$26,tblSaker[Tittel]&amp;" "&amp;tblSaker[Beskrivelse]&amp;" "&amp;tblSaker[Løsning]))*((tblSaker[Status]="Løst")+(tblSaker[Status]="Lukket")),"Ingen løste saker matcher søket."))</f>
        <v/>
      </c>
      <c r="B29" s="8" t="n"/>
    </row>
    <row r="30">
      <c r="B30" s="8" t="n"/>
    </row>
    <row r="31">
      <c r="B31" s="8" t="n"/>
    </row>
    <row r="32">
      <c r="B32" s="8" t="n"/>
    </row>
    <row r="33">
      <c r="B33" s="8" t="n"/>
    </row>
    <row r="34">
      <c r="B34" s="8" t="n"/>
    </row>
    <row r="35">
      <c r="B35" s="8" t="n"/>
    </row>
    <row r="36">
      <c r="B36" s="8" t="n"/>
    </row>
    <row r="37">
      <c r="B37" s="8" t="n"/>
    </row>
    <row r="38">
      <c r="B38" s="8" t="n"/>
    </row>
    <row r="39">
      <c r="B39" s="8" t="n"/>
    </row>
    <row r="40">
      <c r="B40" s="8" t="n"/>
    </row>
    <row r="41">
      <c r="B41" s="8" t="n"/>
    </row>
    <row r="42">
      <c r="B42" s="8" t="n"/>
    </row>
    <row r="43">
      <c r="B43" s="8" t="n"/>
    </row>
    <row r="44">
      <c r="B44" s="8" t="n"/>
    </row>
    <row r="45">
      <c r="B45" s="8" t="n"/>
    </row>
    <row r="46">
      <c r="A46" s="2" t="inlineStr">
        <is>
          <t>Merk: Feilen #SPILL! betyr at trefflisten trenger mer plass – snevr inn søket med flere ord.</t>
        </is>
      </c>
      <c r="B46" s="8" t="n"/>
    </row>
    <row r="47">
      <c r="A47" s="2" t="inlineStr">
        <is>
          <t>Søk er ikke avhengig av store/små bokstaver. Bruk gjerne flere ord, f.eks. «skriver papir».</t>
        </is>
      </c>
      <c r="B47" s="8" t="n"/>
    </row>
    <row r="48">
      <c r="B48" s="8" t="n"/>
    </row>
    <row r="49">
      <c r="B49" s="8" t="n"/>
    </row>
    <row r="50">
      <c r="B50" s="8" t="n"/>
    </row>
    <row r="51">
      <c r="B51" s="8" t="n"/>
    </row>
    <row r="52">
      <c r="B52" s="8" t="n"/>
    </row>
    <row r="53">
      <c r="B53" s="8" t="n"/>
    </row>
    <row r="54">
      <c r="B54" s="8" t="n"/>
    </row>
    <row r="55">
      <c r="B55" s="8" t="n"/>
    </row>
    <row r="56">
      <c r="B56" s="8" t="n"/>
    </row>
    <row r="57">
      <c r="B57" s="8" t="n"/>
    </row>
    <row r="58">
      <c r="B58" s="8" t="n"/>
    </row>
    <row r="59">
      <c r="B59" s="8" t="n"/>
    </row>
    <row r="60">
      <c r="B60" s="8" t="n"/>
    </row>
    <row r="61">
      <c r="B61" s="8" t="n"/>
    </row>
    <row r="62">
      <c r="B62" s="8" t="n"/>
    </row>
    <row r="63">
      <c r="B63" s="8" t="n"/>
    </row>
    <row r="64">
      <c r="B64" s="8" t="n"/>
    </row>
    <row r="65">
      <c r="B65" s="8" t="n"/>
    </row>
    <row r="66">
      <c r="B66" s="8" t="n"/>
    </row>
    <row r="67">
      <c r="B67" s="8" t="n"/>
    </row>
    <row r="68">
      <c r="B68" s="8" t="n"/>
    </row>
    <row r="69">
      <c r="B69" s="8" t="n"/>
    </row>
    <row r="70">
      <c r="B70" s="8" t="n"/>
    </row>
    <row r="71">
      <c r="B71" s="8" t="n"/>
    </row>
    <row r="72">
      <c r="B72" s="8" t="n"/>
    </row>
    <row r="73">
      <c r="B73" s="8" t="n"/>
    </row>
    <row r="74">
      <c r="B74" s="8" t="n"/>
    </row>
    <row r="75">
      <c r="B75" s="8" t="n"/>
    </row>
    <row r="76">
      <c r="B76" s="8" t="n"/>
    </row>
    <row r="77">
      <c r="B77" s="8" t="n"/>
    </row>
    <row r="78">
      <c r="B78" s="8" t="n"/>
    </row>
    <row r="79">
      <c r="B79" s="8" t="n"/>
    </row>
  </sheetData>
  <dataValidations count="1">
    <dataValidation sqref="B6" showDropDown="0" showInputMessage="0" showErrorMessage="0" allowBlank="1" type="list">
      <formula1>=Kategorier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K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20" customWidth="1" min="3" max="3"/>
    <col width="48" customWidth="1" min="4" max="4"/>
    <col width="68" customWidth="1" min="5" max="5"/>
    <col width="34" customWidth="1" min="6" max="6"/>
    <col width="16" customWidth="1" min="7" max="7"/>
    <col width="12" customWidth="1" min="8" max="8"/>
    <col width="12" customWidth="1" min="9" max="9"/>
    <col width="11" customWidth="1" min="10" max="10"/>
    <col width="14" customWidth="1" min="11" max="11"/>
  </cols>
  <sheetData>
    <row r="1">
      <c r="A1" t="inlineStr">
        <is>
          <t>KB-ID</t>
        </is>
      </c>
      <c r="B1" t="inlineStr">
        <is>
          <t>Tittel</t>
        </is>
      </c>
      <c r="C1" t="inlineStr">
        <is>
          <t>Kategori</t>
        </is>
      </c>
      <c r="D1" t="inlineStr">
        <is>
          <t>Problem</t>
        </is>
      </c>
      <c r="E1" t="inlineStr">
        <is>
          <t>Løsning</t>
        </is>
      </c>
      <c r="F1" t="inlineStr">
        <is>
          <t>Nøkkelord</t>
        </is>
      </c>
      <c r="G1" t="inlineStr">
        <is>
          <t>Opprettet av</t>
        </is>
      </c>
      <c r="H1" t="inlineStr">
        <is>
          <t>Dato</t>
        </is>
      </c>
      <c r="I1" t="inlineStr">
        <is>
          <t>Antall bruk</t>
        </is>
      </c>
      <c r="J1" t="inlineStr">
        <is>
          <t>Vurdering</t>
        </is>
      </c>
      <c r="K1" t="inlineStr">
        <is>
          <t>Basert på sak</t>
        </is>
      </c>
    </row>
    <row r="2" ht="105" customHeight="1">
      <c r="A2">
        <f>IF($B2&lt;&gt;"","KB-"&amp;TEXT(ROW()-1,"000"),"")</f>
        <v/>
      </c>
      <c r="B2" t="inlineStr">
        <is>
          <t>Wi-Fi-problemer – kan ikke koble til trådløst nettverk</t>
        </is>
      </c>
      <c r="C2" t="inlineStr">
        <is>
          <t>Nettverk</t>
        </is>
      </c>
      <c r="D2" s="9" t="inlineStr">
        <is>
          <t>Ingen nettforbindelse på trådløsnettet. Accesspunktet kan blinke rødt.</t>
        </is>
      </c>
      <c r="E2" s="9" t="inlineStr">
        <is>
          <t>1. Sjekk at Wi-Fi er slått på hos brukeren.
2. Start accesspunktet på nytt (strøm av/på, vent 30 sek).
3. Sjekk at riktig SSID og passord brukes.
4. Oppdater firmware på accesspunktet.
5. Vedvarende feil: kontakt nettverksansvarlig.</t>
        </is>
      </c>
      <c r="F2" s="9" t="inlineStr">
        <is>
          <t>wifi trådløs nettverk tilkobling accesspunkt internett</t>
        </is>
      </c>
      <c r="G2" t="inlineStr">
        <is>
          <t>Ola Nordmann</t>
        </is>
      </c>
      <c r="H2" s="12" t="n">
        <v>46266</v>
      </c>
      <c r="I2" t="n">
        <v>12</v>
      </c>
      <c r="J2" t="n">
        <v>5</v>
      </c>
      <c r="K2" t="inlineStr">
        <is>
          <t>SAK-0001</t>
        </is>
      </c>
    </row>
    <row r="3" ht="105" customHeight="1">
      <c r="A3">
        <f>IF($B3&lt;&gt;"","KB-"&amp;TEXT(ROW()-1,"000"),"")</f>
        <v/>
      </c>
      <c r="B3" t="inlineStr">
        <is>
          <t>Tilbakestille passord (Windows/VPN)</t>
        </is>
      </c>
      <c r="C3" t="inlineStr">
        <is>
          <t>Passord og tilgang</t>
        </is>
      </c>
      <c r="D3" s="9" t="inlineStr">
        <is>
          <t>Bruker er låst ute eller har glemt passordet sitt.</t>
        </is>
      </c>
      <c r="E3" s="9" t="inlineStr">
        <is>
          <t>1. Verifiser brukerens identitet.
2. Tilbakestill passordet i Active Directory.
3. Huk av «Bruker må endre passord ved neste pålogging».
4. For VPN: synkroniser passordet i VPN-portalen.
5. Be brukeren teste pålogging.</t>
        </is>
      </c>
      <c r="F3" s="9" t="inlineStr">
        <is>
          <t>passord glemt låst vpn innlogging ad</t>
        </is>
      </c>
      <c r="G3" t="inlineStr">
        <is>
          <t>Kari Hansen</t>
        </is>
      </c>
      <c r="H3" s="12" t="n">
        <v>46266</v>
      </c>
      <c r="I3" t="n">
        <v>25</v>
      </c>
      <c r="J3" t="n">
        <v>5</v>
      </c>
      <c r="K3" t="inlineStr">
        <is>
          <t>SAK-0002</t>
        </is>
      </c>
    </row>
    <row r="4" ht="105" customHeight="1">
      <c r="A4">
        <f>IF($B4&lt;&gt;"","KB-"&amp;TEXT(ROW()-1,"000"),"")</f>
        <v/>
      </c>
      <c r="B4" t="inlineStr">
        <is>
          <t>Papirstopp i skriver</t>
        </is>
      </c>
      <c r="C4" t="inlineStr">
        <is>
          <t>Skriver og utskrift</t>
        </is>
      </c>
      <c r="D4" s="9" t="inlineStr">
        <is>
          <t>Papir kjører seg fast, ofte ved dobbeltsidig utskrift.</t>
        </is>
      </c>
      <c r="E4" s="9" t="inlineStr">
        <is>
          <t>1. Åpne alle luker og fjern fastkjørt papir forsiktig.
2. Rens valsene med en lofri klut.
3. Bruk riktig papirtype/grammatur.
4. Sjekk at papiret ikke er fuktig.
5. Ved gjentatte stopp: bestill service.</t>
        </is>
      </c>
      <c r="F4" s="9" t="inlineStr">
        <is>
          <t>skriver papirstopp utskrift papir fastkjørt</t>
        </is>
      </c>
      <c r="G4" t="inlineStr">
        <is>
          <t>Erik Dahl</t>
        </is>
      </c>
      <c r="H4" s="12" t="n">
        <v>46267</v>
      </c>
      <c r="I4" t="n">
        <v>8</v>
      </c>
      <c r="J4" t="n">
        <v>4</v>
      </c>
      <c r="K4" t="inlineStr">
        <is>
          <t>SAK-0005</t>
        </is>
      </c>
    </row>
    <row r="5" ht="105" customHeight="1">
      <c r="A5">
        <f>IF($B5&lt;&gt;"","KB-"&amp;TEXT(ROW()-1,"000"),"")</f>
        <v/>
      </c>
      <c r="B5" t="inlineStr">
        <is>
          <t>Outlook treg eller krasjer ved oppstart</t>
        </is>
      </c>
      <c r="C5" t="inlineStr">
        <is>
          <t>E-post og kalender</t>
        </is>
      </c>
      <c r="D5" s="9" t="inlineStr">
        <is>
          <t>Outlook krasjer eller fryser ved oppstart, ofte etter oppdatering.</t>
        </is>
      </c>
      <c r="E5" s="9" t="inlineStr">
        <is>
          <t>1. Start Outlook i sikker modus (outlook.exe /safe).
2. Deaktiver tillegg ett og ett for å finne synderen.
3. Opprett en ny e-postprofil.
4. Kjør hurtigreparasjon av Office.
5. Sjekk PST/OST-fil med SCANPST ved mistanke om korrupsjon.</t>
        </is>
      </c>
      <c r="F5" s="9" t="inlineStr">
        <is>
          <t>outlook e-post krasjer treg profil tillegg fryser</t>
        </is>
      </c>
      <c r="G5" t="inlineStr">
        <is>
          <t>Anne Berg</t>
        </is>
      </c>
      <c r="H5" s="12" t="n">
        <v>46267</v>
      </c>
      <c r="I5" t="n">
        <v>6</v>
      </c>
      <c r="J5" t="n">
        <v>4</v>
      </c>
      <c r="K5" t="inlineStr"/>
    </row>
    <row r="6" ht="105" customHeight="1">
      <c r="A6">
        <f>IF($B6&lt;&gt;"","KB-"&amp;TEXT(ROW()-1,"000"),"")</f>
        <v/>
      </c>
      <c r="B6" t="inlineStr">
        <is>
          <t>Gi tilgang til fellesmappe</t>
        </is>
      </c>
      <c r="C6" t="inlineStr">
        <is>
          <t>Passord og tilgang</t>
        </is>
      </c>
      <c r="D6" s="9" t="inlineStr">
        <is>
          <t>Bruker mangler tilgang til en delt nettverksmappe.</t>
        </is>
      </c>
      <c r="E6" s="9" t="inlineStr">
        <is>
          <t>1. Innhent skriftlig godkjenning fra mappe-eier eller leder.
2. Legg brukeren inn i riktig AD-gruppe (aldri direkte på mappen).
3. Be brukeren logge av og på for å oppdatere tilgangen.
4. Verifiser tilgangen sammen med brukeren.</t>
        </is>
      </c>
      <c r="F6" s="9" t="inlineStr">
        <is>
          <t>tilgang fellesmappe rettigheter mappe ad-gruppe delt</t>
        </is>
      </c>
      <c r="G6" t="inlineStr">
        <is>
          <t>Kari Hansen</t>
        </is>
      </c>
      <c r="H6" s="12" t="n">
        <v>46268</v>
      </c>
      <c r="I6" t="n">
        <v>15</v>
      </c>
      <c r="J6" t="n">
        <v>5</v>
      </c>
      <c r="K6" t="inlineStr">
        <is>
          <t>SAK-0008</t>
        </is>
      </c>
    </row>
    <row r="7" ht="105" customHeight="1">
      <c r="A7">
        <f>IF($B7&lt;&gt;"","KB-"&amp;TEXT(ROW()-1,"000"),"")</f>
        <v/>
      </c>
      <c r="B7" t="inlineStr">
        <is>
          <t>Microsoft Teams krasjer ved videosamtale</t>
        </is>
      </c>
      <c r="C7" t="inlineStr">
        <is>
          <t>Programvare</t>
        </is>
      </c>
      <c r="D7" s="9" t="inlineStr">
        <is>
          <t>Teams krasjer eller fryser under videosamtaler, gjerne etter oppdatering.</t>
        </is>
      </c>
      <c r="E7" s="9" t="inlineStr">
        <is>
          <t>1. Start PC-en på nytt.
2. Tøm Teams-bufferen (%appdata%\Microsoft\Teams).
3. Oppdater grafikkdriveren.
4. Installer Teams på nytt.
5. Test med nettleserversjonen for å isolere problemet.</t>
        </is>
      </c>
      <c r="F7" s="9" t="inlineStr">
        <is>
          <t>teams krasjer video møte samtale kamera</t>
        </is>
      </c>
      <c r="G7" t="inlineStr">
        <is>
          <t>Anne Berg</t>
        </is>
      </c>
      <c r="H7" s="12" t="n">
        <v>46268</v>
      </c>
      <c r="I7" t="n">
        <v>4</v>
      </c>
      <c r="J7" t="n">
        <v>4</v>
      </c>
      <c r="K7" t="inlineStr">
        <is>
          <t>SAK-0006</t>
        </is>
      </c>
    </row>
    <row r="8">
      <c r="A8">
        <f>IF($B8&lt;&gt;"","KB-"&amp;TEXT(ROW()-1,"000"),"")</f>
        <v/>
      </c>
      <c r="H8" s="12" t="n"/>
    </row>
    <row r="9">
      <c r="A9">
        <f>IF($B9&lt;&gt;"","KB-"&amp;TEXT(ROW()-1,"000"),"")</f>
        <v/>
      </c>
      <c r="H9" s="12" t="n"/>
    </row>
    <row r="10">
      <c r="A10">
        <f>IF($B10&lt;&gt;"","KB-"&amp;TEXT(ROW()-1,"000"),"")</f>
        <v/>
      </c>
      <c r="H10" s="12" t="n"/>
    </row>
    <row r="11">
      <c r="A11">
        <f>IF($B11&lt;&gt;"","KB-"&amp;TEXT(ROW()-1,"000"),"")</f>
        <v/>
      </c>
      <c r="H11" s="12" t="n"/>
    </row>
    <row r="12">
      <c r="A12">
        <f>IF($B12&lt;&gt;"","KB-"&amp;TEXT(ROW()-1,"000"),"")</f>
        <v/>
      </c>
      <c r="H12" s="12" t="n"/>
    </row>
    <row r="13">
      <c r="A13">
        <f>IF($B13&lt;&gt;"","KB-"&amp;TEXT(ROW()-1,"000"),"")</f>
        <v/>
      </c>
      <c r="H13" s="12" t="n"/>
    </row>
    <row r="14">
      <c r="A14">
        <f>IF($B14&lt;&gt;"","KB-"&amp;TEXT(ROW()-1,"000"),"")</f>
        <v/>
      </c>
      <c r="H14" s="12" t="n"/>
    </row>
    <row r="15">
      <c r="A15">
        <f>IF($B15&lt;&gt;"","KB-"&amp;TEXT(ROW()-1,"000"),"")</f>
        <v/>
      </c>
      <c r="H15" s="12" t="n"/>
    </row>
    <row r="16">
      <c r="A16">
        <f>IF($B16&lt;&gt;"","KB-"&amp;TEXT(ROW()-1,"000"),"")</f>
        <v/>
      </c>
      <c r="H16" s="12" t="n"/>
    </row>
    <row r="17">
      <c r="A17">
        <f>IF($B17&lt;&gt;"","KB-"&amp;TEXT(ROW()-1,"000"),"")</f>
        <v/>
      </c>
      <c r="H17" s="12" t="n"/>
    </row>
    <row r="18">
      <c r="A18">
        <f>IF($B18&lt;&gt;"","KB-"&amp;TEXT(ROW()-1,"000"),"")</f>
        <v/>
      </c>
      <c r="H18" s="12" t="n"/>
    </row>
    <row r="19">
      <c r="A19">
        <f>IF($B19&lt;&gt;"","KB-"&amp;TEXT(ROW()-1,"000"),"")</f>
        <v/>
      </c>
      <c r="H19" s="12" t="n"/>
    </row>
    <row r="20">
      <c r="A20">
        <f>IF($B20&lt;&gt;"","KB-"&amp;TEXT(ROW()-1,"000"),"")</f>
        <v/>
      </c>
      <c r="H20" s="12" t="n"/>
    </row>
    <row r="21">
      <c r="A21">
        <f>IF($B21&lt;&gt;"","KB-"&amp;TEXT(ROW()-1,"000"),"")</f>
        <v/>
      </c>
      <c r="H21" s="12" t="n"/>
    </row>
    <row r="22">
      <c r="A22">
        <f>IF($B22&lt;&gt;"","KB-"&amp;TEXT(ROW()-1,"000"),"")</f>
        <v/>
      </c>
      <c r="H22" s="12" t="n"/>
    </row>
    <row r="23">
      <c r="A23">
        <f>IF($B23&lt;&gt;"","KB-"&amp;TEXT(ROW()-1,"000"),"")</f>
        <v/>
      </c>
      <c r="H23" s="12" t="n"/>
    </row>
    <row r="24">
      <c r="A24">
        <f>IF($B24&lt;&gt;"","KB-"&amp;TEXT(ROW()-1,"000"),"")</f>
        <v/>
      </c>
      <c r="H24" s="12" t="n"/>
    </row>
    <row r="25">
      <c r="A25">
        <f>IF($B25&lt;&gt;"","KB-"&amp;TEXT(ROW()-1,"000"),"")</f>
        <v/>
      </c>
      <c r="H25" s="12" t="n"/>
    </row>
    <row r="26">
      <c r="A26">
        <f>IF($B26&lt;&gt;"","KB-"&amp;TEXT(ROW()-1,"000"),"")</f>
        <v/>
      </c>
      <c r="H26" s="12" t="n"/>
    </row>
    <row r="27">
      <c r="A27">
        <f>IF($B27&lt;&gt;"","KB-"&amp;TEXT(ROW()-1,"000"),"")</f>
        <v/>
      </c>
      <c r="H27" s="12" t="n"/>
    </row>
    <row r="28">
      <c r="A28">
        <f>IF($B28&lt;&gt;"","KB-"&amp;TEXT(ROW()-1,"000"),"")</f>
        <v/>
      </c>
      <c r="H28" s="12" t="n"/>
    </row>
    <row r="29">
      <c r="A29">
        <f>IF($B29&lt;&gt;"","KB-"&amp;TEXT(ROW()-1,"000"),"")</f>
        <v/>
      </c>
      <c r="H29" s="12" t="n"/>
    </row>
    <row r="30">
      <c r="A30">
        <f>IF($B30&lt;&gt;"","KB-"&amp;TEXT(ROW()-1,"000"),"")</f>
        <v/>
      </c>
      <c r="H30" s="12" t="n"/>
    </row>
    <row r="31">
      <c r="A31">
        <f>IF($B31&lt;&gt;"","KB-"&amp;TEXT(ROW()-1,"000"),"")</f>
        <v/>
      </c>
      <c r="H31" s="12" t="n"/>
    </row>
    <row r="32">
      <c r="A32">
        <f>IF($B32&lt;&gt;"","KB-"&amp;TEXT(ROW()-1,"000"),"")</f>
        <v/>
      </c>
      <c r="H32" s="12" t="n"/>
    </row>
    <row r="33">
      <c r="A33">
        <f>IF($B33&lt;&gt;"","KB-"&amp;TEXT(ROW()-1,"000"),"")</f>
        <v/>
      </c>
      <c r="H33" s="12" t="n"/>
    </row>
    <row r="34">
      <c r="A34">
        <f>IF($B34&lt;&gt;"","KB-"&amp;TEXT(ROW()-1,"000"),"")</f>
        <v/>
      </c>
      <c r="H34" s="12" t="n"/>
    </row>
    <row r="35">
      <c r="A35">
        <f>IF($B35&lt;&gt;"","KB-"&amp;TEXT(ROW()-1,"000"),"")</f>
        <v/>
      </c>
      <c r="H35" s="12" t="n"/>
    </row>
    <row r="36">
      <c r="A36">
        <f>IF($B36&lt;&gt;"","KB-"&amp;TEXT(ROW()-1,"000"),"")</f>
        <v/>
      </c>
      <c r="H36" s="12" t="n"/>
    </row>
    <row r="37">
      <c r="A37">
        <f>IF($B37&lt;&gt;"","KB-"&amp;TEXT(ROW()-1,"000"),"")</f>
        <v/>
      </c>
      <c r="H37" s="12" t="n"/>
    </row>
    <row r="38">
      <c r="A38">
        <f>IF($B38&lt;&gt;"","KB-"&amp;TEXT(ROW()-1,"000"),"")</f>
        <v/>
      </c>
      <c r="H38" s="12" t="n"/>
    </row>
    <row r="39">
      <c r="A39">
        <f>IF($B39&lt;&gt;"","KB-"&amp;TEXT(ROW()-1,"000"),"")</f>
        <v/>
      </c>
      <c r="H39" s="12" t="n"/>
    </row>
    <row r="40">
      <c r="A40">
        <f>IF($B40&lt;&gt;"","KB-"&amp;TEXT(ROW()-1,"000"),"")</f>
        <v/>
      </c>
      <c r="H40" s="12" t="n"/>
    </row>
    <row r="41">
      <c r="A41">
        <f>IF($B41&lt;&gt;"","KB-"&amp;TEXT(ROW()-1,"000"),"")</f>
        <v/>
      </c>
      <c r="H41" s="12" t="n"/>
    </row>
    <row r="42">
      <c r="A42">
        <f>IF($B42&lt;&gt;"","KB-"&amp;TEXT(ROW()-1,"000"),"")</f>
        <v/>
      </c>
      <c r="H42" s="12" t="n"/>
    </row>
    <row r="43">
      <c r="A43">
        <f>IF($B43&lt;&gt;"","KB-"&amp;TEXT(ROW()-1,"000"),"")</f>
        <v/>
      </c>
      <c r="H43" s="12" t="n"/>
    </row>
    <row r="44">
      <c r="A44">
        <f>IF($B44&lt;&gt;"","KB-"&amp;TEXT(ROW()-1,"000"),"")</f>
        <v/>
      </c>
      <c r="H44" s="12" t="n"/>
    </row>
    <row r="45">
      <c r="A45">
        <f>IF($B45&lt;&gt;"","KB-"&amp;TEXT(ROW()-1,"000"),"")</f>
        <v/>
      </c>
      <c r="H45" s="12" t="n"/>
    </row>
    <row r="46">
      <c r="A46">
        <f>IF($B46&lt;&gt;"","KB-"&amp;TEXT(ROW()-1,"000"),"")</f>
        <v/>
      </c>
      <c r="H46" s="12" t="n"/>
    </row>
    <row r="47">
      <c r="A47">
        <f>IF($B47&lt;&gt;"","KB-"&amp;TEXT(ROW()-1,"000"),"")</f>
        <v/>
      </c>
      <c r="H47" s="12" t="n"/>
    </row>
    <row r="48">
      <c r="A48">
        <f>IF($B48&lt;&gt;"","KB-"&amp;TEXT(ROW()-1,"000"),"")</f>
        <v/>
      </c>
      <c r="H48" s="12" t="n"/>
    </row>
    <row r="49">
      <c r="A49">
        <f>IF($B49&lt;&gt;"","KB-"&amp;TEXT(ROW()-1,"000"),"")</f>
        <v/>
      </c>
      <c r="H49" s="12" t="n"/>
    </row>
    <row r="50">
      <c r="A50">
        <f>IF($B50&lt;&gt;"","KB-"&amp;TEXT(ROW()-1,"000"),"")</f>
        <v/>
      </c>
      <c r="H50" s="12" t="n"/>
    </row>
    <row r="51">
      <c r="A51">
        <f>IF($B51&lt;&gt;"","KB-"&amp;TEXT(ROW()-1,"000"),"")</f>
        <v/>
      </c>
      <c r="H51" s="12" t="n"/>
    </row>
    <row r="52">
      <c r="A52">
        <f>IF($B52&lt;&gt;"","KB-"&amp;TEXT(ROW()-1,"000"),"")</f>
        <v/>
      </c>
      <c r="H52" s="12" t="n"/>
    </row>
    <row r="53">
      <c r="A53">
        <f>IF($B53&lt;&gt;"","KB-"&amp;TEXT(ROW()-1,"000"),"")</f>
        <v/>
      </c>
      <c r="H53" s="12" t="n"/>
    </row>
    <row r="54">
      <c r="A54">
        <f>IF($B54&lt;&gt;"","KB-"&amp;TEXT(ROW()-1,"000"),"")</f>
        <v/>
      </c>
      <c r="H54" s="12" t="n"/>
    </row>
    <row r="55">
      <c r="A55">
        <f>IF($B55&lt;&gt;"","KB-"&amp;TEXT(ROW()-1,"000"),"")</f>
        <v/>
      </c>
      <c r="H55" s="12" t="n"/>
    </row>
    <row r="56">
      <c r="A56">
        <f>IF($B56&lt;&gt;"","KB-"&amp;TEXT(ROW()-1,"000"),"")</f>
        <v/>
      </c>
      <c r="H56" s="12" t="n"/>
    </row>
    <row r="57">
      <c r="A57">
        <f>IF($B57&lt;&gt;"","KB-"&amp;TEXT(ROW()-1,"000"),"")</f>
        <v/>
      </c>
      <c r="H57" s="12" t="n"/>
    </row>
    <row r="58">
      <c r="A58">
        <f>IF($B58&lt;&gt;"","KB-"&amp;TEXT(ROW()-1,"000"),"")</f>
        <v/>
      </c>
      <c r="H58" s="12" t="n"/>
    </row>
    <row r="59">
      <c r="A59">
        <f>IF($B59&lt;&gt;"","KB-"&amp;TEXT(ROW()-1,"000"),"")</f>
        <v/>
      </c>
      <c r="H59" s="12" t="n"/>
    </row>
    <row r="60">
      <c r="A60">
        <f>IF($B60&lt;&gt;"","KB-"&amp;TEXT(ROW()-1,"000"),"")</f>
        <v/>
      </c>
      <c r="H60" s="12" t="n"/>
    </row>
    <row r="61">
      <c r="A61">
        <f>IF($B61&lt;&gt;"","KB-"&amp;TEXT(ROW()-1,"000"),"")</f>
        <v/>
      </c>
      <c r="H61" s="12" t="n"/>
    </row>
    <row r="62">
      <c r="A62">
        <f>IF($B62&lt;&gt;"","KB-"&amp;TEXT(ROW()-1,"000"),"")</f>
        <v/>
      </c>
      <c r="H62" s="12" t="n"/>
    </row>
    <row r="63">
      <c r="A63">
        <f>IF($B63&lt;&gt;"","KB-"&amp;TEXT(ROW()-1,"000"),"")</f>
        <v/>
      </c>
      <c r="H63" s="12" t="n"/>
    </row>
    <row r="64">
      <c r="A64">
        <f>IF($B64&lt;&gt;"","KB-"&amp;TEXT(ROW()-1,"000"),"")</f>
        <v/>
      </c>
      <c r="H64" s="12" t="n"/>
    </row>
    <row r="65">
      <c r="A65">
        <f>IF($B65&lt;&gt;"","KB-"&amp;TEXT(ROW()-1,"000"),"")</f>
        <v/>
      </c>
      <c r="H65" s="12" t="n"/>
    </row>
    <row r="66">
      <c r="A66">
        <f>IF($B66&lt;&gt;"","KB-"&amp;TEXT(ROW()-1,"000"),"")</f>
        <v/>
      </c>
      <c r="H66" s="12" t="n"/>
    </row>
    <row r="67">
      <c r="A67">
        <f>IF($B67&lt;&gt;"","KB-"&amp;TEXT(ROW()-1,"000"),"")</f>
        <v/>
      </c>
      <c r="H67" s="12" t="n"/>
    </row>
    <row r="68">
      <c r="A68">
        <f>IF($B68&lt;&gt;"","KB-"&amp;TEXT(ROW()-1,"000"),"")</f>
        <v/>
      </c>
      <c r="H68" s="12" t="n"/>
    </row>
    <row r="69">
      <c r="A69">
        <f>IF($B69&lt;&gt;"","KB-"&amp;TEXT(ROW()-1,"000"),"")</f>
        <v/>
      </c>
      <c r="H69" s="12" t="n"/>
    </row>
    <row r="70">
      <c r="A70">
        <f>IF($B70&lt;&gt;"","KB-"&amp;TEXT(ROW()-1,"000"),"")</f>
        <v/>
      </c>
      <c r="H70" s="12" t="n"/>
    </row>
    <row r="71">
      <c r="A71">
        <f>IF($B71&lt;&gt;"","KB-"&amp;TEXT(ROW()-1,"000"),"")</f>
        <v/>
      </c>
      <c r="H71" s="12" t="n"/>
    </row>
    <row r="72">
      <c r="A72">
        <f>IF($B72&lt;&gt;"","KB-"&amp;TEXT(ROW()-1,"000"),"")</f>
        <v/>
      </c>
      <c r="H72" s="12" t="n"/>
    </row>
    <row r="73">
      <c r="A73">
        <f>IF($B73&lt;&gt;"","KB-"&amp;TEXT(ROW()-1,"000"),"")</f>
        <v/>
      </c>
      <c r="H73" s="12" t="n"/>
    </row>
    <row r="74">
      <c r="A74">
        <f>IF($B74&lt;&gt;"","KB-"&amp;TEXT(ROW()-1,"000"),"")</f>
        <v/>
      </c>
      <c r="H74" s="12" t="n"/>
    </row>
    <row r="75">
      <c r="A75">
        <f>IF($B75&lt;&gt;"","KB-"&amp;TEXT(ROW()-1,"000"),"")</f>
        <v/>
      </c>
      <c r="H75" s="12" t="n"/>
    </row>
    <row r="76">
      <c r="A76">
        <f>IF($B76&lt;&gt;"","KB-"&amp;TEXT(ROW()-1,"000"),"")</f>
        <v/>
      </c>
      <c r="H76" s="12" t="n"/>
    </row>
    <row r="77">
      <c r="A77">
        <f>IF($B77&lt;&gt;"","KB-"&amp;TEXT(ROW()-1,"000"),"")</f>
        <v/>
      </c>
      <c r="H77" s="12" t="n"/>
    </row>
    <row r="78">
      <c r="A78">
        <f>IF($B78&lt;&gt;"","KB-"&amp;TEXT(ROW()-1,"000"),"")</f>
        <v/>
      </c>
      <c r="H78" s="12" t="n"/>
    </row>
    <row r="79">
      <c r="A79">
        <f>IF($B79&lt;&gt;"","KB-"&amp;TEXT(ROW()-1,"000"),"")</f>
        <v/>
      </c>
      <c r="H79" s="12" t="n"/>
    </row>
    <row r="80">
      <c r="A80">
        <f>IF($B80&lt;&gt;"","KB-"&amp;TEXT(ROW()-1,"000"),"")</f>
        <v/>
      </c>
      <c r="H80" s="12" t="n"/>
    </row>
    <row r="81">
      <c r="A81">
        <f>IF($B81&lt;&gt;"","KB-"&amp;TEXT(ROW()-1,"000"),"")</f>
        <v/>
      </c>
      <c r="H81" s="12" t="n"/>
    </row>
    <row r="82">
      <c r="A82">
        <f>IF($B82&lt;&gt;"","KB-"&amp;TEXT(ROW()-1,"000"),"")</f>
        <v/>
      </c>
      <c r="H82" s="12" t="n"/>
    </row>
    <row r="83">
      <c r="A83">
        <f>IF($B83&lt;&gt;"","KB-"&amp;TEXT(ROW()-1,"000"),"")</f>
        <v/>
      </c>
      <c r="H83" s="12" t="n"/>
    </row>
    <row r="84">
      <c r="A84">
        <f>IF($B84&lt;&gt;"","KB-"&amp;TEXT(ROW()-1,"000"),"")</f>
        <v/>
      </c>
      <c r="H84" s="12" t="n"/>
    </row>
    <row r="85">
      <c r="A85">
        <f>IF($B85&lt;&gt;"","KB-"&amp;TEXT(ROW()-1,"000"),"")</f>
        <v/>
      </c>
      <c r="H85" s="12" t="n"/>
    </row>
    <row r="86">
      <c r="A86">
        <f>IF($B86&lt;&gt;"","KB-"&amp;TEXT(ROW()-1,"000"),"")</f>
        <v/>
      </c>
      <c r="H86" s="12" t="n"/>
    </row>
    <row r="87">
      <c r="A87">
        <f>IF($B87&lt;&gt;"","KB-"&amp;TEXT(ROW()-1,"000"),"")</f>
        <v/>
      </c>
      <c r="H87" s="12" t="n"/>
    </row>
    <row r="88">
      <c r="A88">
        <f>IF($B88&lt;&gt;"","KB-"&amp;TEXT(ROW()-1,"000"),"")</f>
        <v/>
      </c>
      <c r="H88" s="12" t="n"/>
    </row>
    <row r="89">
      <c r="A89">
        <f>IF($B89&lt;&gt;"","KB-"&amp;TEXT(ROW()-1,"000"),"")</f>
        <v/>
      </c>
      <c r="H89" s="12" t="n"/>
    </row>
    <row r="90">
      <c r="A90">
        <f>IF($B90&lt;&gt;"","KB-"&amp;TEXT(ROW()-1,"000"),"")</f>
        <v/>
      </c>
      <c r="H90" s="12" t="n"/>
    </row>
    <row r="91">
      <c r="A91">
        <f>IF($B91&lt;&gt;"","KB-"&amp;TEXT(ROW()-1,"000"),"")</f>
        <v/>
      </c>
      <c r="H91" s="12" t="n"/>
    </row>
    <row r="92">
      <c r="A92">
        <f>IF($B92&lt;&gt;"","KB-"&amp;TEXT(ROW()-1,"000"),"")</f>
        <v/>
      </c>
      <c r="H92" s="12" t="n"/>
    </row>
    <row r="93">
      <c r="A93">
        <f>IF($B93&lt;&gt;"","KB-"&amp;TEXT(ROW()-1,"000"),"")</f>
        <v/>
      </c>
      <c r="H93" s="12" t="n"/>
    </row>
    <row r="94">
      <c r="A94">
        <f>IF($B94&lt;&gt;"","KB-"&amp;TEXT(ROW()-1,"000"),"")</f>
        <v/>
      </c>
      <c r="H94" s="12" t="n"/>
    </row>
    <row r="95">
      <c r="A95">
        <f>IF($B95&lt;&gt;"","KB-"&amp;TEXT(ROW()-1,"000"),"")</f>
        <v/>
      </c>
      <c r="H95" s="12" t="n"/>
    </row>
    <row r="96">
      <c r="A96">
        <f>IF($B96&lt;&gt;"","KB-"&amp;TEXT(ROW()-1,"000"),"")</f>
        <v/>
      </c>
      <c r="H96" s="12" t="n"/>
    </row>
    <row r="97">
      <c r="A97">
        <f>IF($B97&lt;&gt;"","KB-"&amp;TEXT(ROW()-1,"000"),"")</f>
        <v/>
      </c>
      <c r="H97" s="12" t="n"/>
    </row>
    <row r="98">
      <c r="A98">
        <f>IF($B98&lt;&gt;"","KB-"&amp;TEXT(ROW()-1,"000"),"")</f>
        <v/>
      </c>
      <c r="H98" s="12" t="n"/>
    </row>
    <row r="99">
      <c r="A99">
        <f>IF($B99&lt;&gt;"","KB-"&amp;TEXT(ROW()-1,"000"),"")</f>
        <v/>
      </c>
      <c r="H99" s="12" t="n"/>
    </row>
    <row r="100">
      <c r="A100">
        <f>IF($B100&lt;&gt;"","KB-"&amp;TEXT(ROW()-1,"000"),"")</f>
        <v/>
      </c>
      <c r="H100" s="12" t="n"/>
    </row>
    <row r="101">
      <c r="A101">
        <f>IF($B101&lt;&gt;"","KB-"&amp;TEXT(ROW()-1,"000"),"")</f>
        <v/>
      </c>
      <c r="H101" s="12" t="n"/>
    </row>
    <row r="102">
      <c r="A102">
        <f>IF($B102&lt;&gt;"","KB-"&amp;TEXT(ROW()-1,"000"),"")</f>
        <v/>
      </c>
      <c r="H102" s="12" t="n"/>
    </row>
    <row r="103">
      <c r="A103">
        <f>IF($B103&lt;&gt;"","KB-"&amp;TEXT(ROW()-1,"000"),"")</f>
        <v/>
      </c>
      <c r="H103" s="12" t="n"/>
    </row>
    <row r="104">
      <c r="A104">
        <f>IF($B104&lt;&gt;"","KB-"&amp;TEXT(ROW()-1,"000"),"")</f>
        <v/>
      </c>
      <c r="H104" s="12" t="n"/>
    </row>
    <row r="105">
      <c r="A105">
        <f>IF($B105&lt;&gt;"","KB-"&amp;TEXT(ROW()-1,"000"),"")</f>
        <v/>
      </c>
      <c r="H105" s="12" t="n"/>
    </row>
    <row r="106">
      <c r="A106">
        <f>IF($B106&lt;&gt;"","KB-"&amp;TEXT(ROW()-1,"000"),"")</f>
        <v/>
      </c>
      <c r="H106" s="12" t="n"/>
    </row>
    <row r="107">
      <c r="A107">
        <f>IF($B107&lt;&gt;"","KB-"&amp;TEXT(ROW()-1,"000"),"")</f>
        <v/>
      </c>
      <c r="H107" s="12" t="n"/>
    </row>
    <row r="108">
      <c r="A108">
        <f>IF($B108&lt;&gt;"","KB-"&amp;TEXT(ROW()-1,"000"),"")</f>
        <v/>
      </c>
      <c r="H108" s="12" t="n"/>
    </row>
    <row r="109">
      <c r="A109">
        <f>IF($B109&lt;&gt;"","KB-"&amp;TEXT(ROW()-1,"000"),"")</f>
        <v/>
      </c>
      <c r="H109" s="12" t="n"/>
    </row>
    <row r="110">
      <c r="A110">
        <f>IF($B110&lt;&gt;"","KB-"&amp;TEXT(ROW()-1,"000"),"")</f>
        <v/>
      </c>
      <c r="H110" s="12" t="n"/>
    </row>
    <row r="111">
      <c r="A111">
        <f>IF($B111&lt;&gt;"","KB-"&amp;TEXT(ROW()-1,"000"),"")</f>
        <v/>
      </c>
      <c r="H111" s="12" t="n"/>
    </row>
    <row r="112">
      <c r="A112">
        <f>IF($B112&lt;&gt;"","KB-"&amp;TEXT(ROW()-1,"000"),"")</f>
        <v/>
      </c>
      <c r="H112" s="12" t="n"/>
    </row>
    <row r="113">
      <c r="A113">
        <f>IF($B113&lt;&gt;"","KB-"&amp;TEXT(ROW()-1,"000"),"")</f>
        <v/>
      </c>
      <c r="H113" s="12" t="n"/>
    </row>
    <row r="114">
      <c r="A114">
        <f>IF($B114&lt;&gt;"","KB-"&amp;TEXT(ROW()-1,"000"),"")</f>
        <v/>
      </c>
      <c r="H114" s="12" t="n"/>
    </row>
    <row r="115">
      <c r="A115">
        <f>IF($B115&lt;&gt;"","KB-"&amp;TEXT(ROW()-1,"000"),"")</f>
        <v/>
      </c>
      <c r="H115" s="12" t="n"/>
    </row>
    <row r="116">
      <c r="A116">
        <f>IF($B116&lt;&gt;"","KB-"&amp;TEXT(ROW()-1,"000"),"")</f>
        <v/>
      </c>
      <c r="H116" s="12" t="n"/>
    </row>
    <row r="117">
      <c r="A117">
        <f>IF($B117&lt;&gt;"","KB-"&amp;TEXT(ROW()-1,"000"),"")</f>
        <v/>
      </c>
      <c r="H117" s="12" t="n"/>
    </row>
    <row r="118">
      <c r="A118">
        <f>IF($B118&lt;&gt;"","KB-"&amp;TEXT(ROW()-1,"000"),"")</f>
        <v/>
      </c>
      <c r="H118" s="12" t="n"/>
    </row>
    <row r="119">
      <c r="A119">
        <f>IF($B119&lt;&gt;"","KB-"&amp;TEXT(ROW()-1,"000"),"")</f>
        <v/>
      </c>
      <c r="H119" s="12" t="n"/>
    </row>
    <row r="120">
      <c r="A120">
        <f>IF($B120&lt;&gt;"","KB-"&amp;TEXT(ROW()-1,"000"),"")</f>
        <v/>
      </c>
      <c r="H120" s="12" t="n"/>
    </row>
    <row r="121">
      <c r="A121">
        <f>IF($B121&lt;&gt;"","KB-"&amp;TEXT(ROW()-1,"000"),"")</f>
        <v/>
      </c>
      <c r="H121" s="12" t="n"/>
    </row>
    <row r="122">
      <c r="A122">
        <f>IF($B122&lt;&gt;"","KB-"&amp;TEXT(ROW()-1,"000"),"")</f>
        <v/>
      </c>
      <c r="H122" s="12" t="n"/>
    </row>
    <row r="123">
      <c r="A123">
        <f>IF($B123&lt;&gt;"","KB-"&amp;TEXT(ROW()-1,"000"),"")</f>
        <v/>
      </c>
      <c r="H123" s="12" t="n"/>
    </row>
    <row r="124">
      <c r="A124">
        <f>IF($B124&lt;&gt;"","KB-"&amp;TEXT(ROW()-1,"000"),"")</f>
        <v/>
      </c>
      <c r="H124" s="12" t="n"/>
    </row>
    <row r="125">
      <c r="A125">
        <f>IF($B125&lt;&gt;"","KB-"&amp;TEXT(ROW()-1,"000"),"")</f>
        <v/>
      </c>
      <c r="H125" s="12" t="n"/>
    </row>
    <row r="126">
      <c r="A126">
        <f>IF($B126&lt;&gt;"","KB-"&amp;TEXT(ROW()-1,"000"),"")</f>
        <v/>
      </c>
      <c r="H126" s="12" t="n"/>
    </row>
    <row r="127">
      <c r="A127">
        <f>IF($B127&lt;&gt;"","KB-"&amp;TEXT(ROW()-1,"000"),"")</f>
        <v/>
      </c>
      <c r="H127" s="12" t="n"/>
    </row>
    <row r="128">
      <c r="A128">
        <f>IF($B128&lt;&gt;"","KB-"&amp;TEXT(ROW()-1,"000"),"")</f>
        <v/>
      </c>
      <c r="H128" s="12" t="n"/>
    </row>
    <row r="129">
      <c r="A129">
        <f>IF($B129&lt;&gt;"","KB-"&amp;TEXT(ROW()-1,"000"),"")</f>
        <v/>
      </c>
      <c r="H129" s="12" t="n"/>
    </row>
    <row r="130">
      <c r="A130">
        <f>IF($B130&lt;&gt;"","KB-"&amp;TEXT(ROW()-1,"000"),"")</f>
        <v/>
      </c>
      <c r="H130" s="12" t="n"/>
    </row>
    <row r="131">
      <c r="A131">
        <f>IF($B131&lt;&gt;"","KB-"&amp;TEXT(ROW()-1,"000"),"")</f>
        <v/>
      </c>
      <c r="H131" s="12" t="n"/>
    </row>
    <row r="132">
      <c r="A132">
        <f>IF($B132&lt;&gt;"","KB-"&amp;TEXT(ROW()-1,"000"),"")</f>
        <v/>
      </c>
      <c r="H132" s="12" t="n"/>
    </row>
    <row r="133">
      <c r="A133">
        <f>IF($B133&lt;&gt;"","KB-"&amp;TEXT(ROW()-1,"000"),"")</f>
        <v/>
      </c>
      <c r="H133" s="12" t="n"/>
    </row>
    <row r="134">
      <c r="A134">
        <f>IF($B134&lt;&gt;"","KB-"&amp;TEXT(ROW()-1,"000"),"")</f>
        <v/>
      </c>
      <c r="H134" s="12" t="n"/>
    </row>
    <row r="135">
      <c r="A135">
        <f>IF($B135&lt;&gt;"","KB-"&amp;TEXT(ROW()-1,"000"),"")</f>
        <v/>
      </c>
      <c r="H135" s="12" t="n"/>
    </row>
    <row r="136">
      <c r="A136">
        <f>IF($B136&lt;&gt;"","KB-"&amp;TEXT(ROW()-1,"000"),"")</f>
        <v/>
      </c>
      <c r="H136" s="12" t="n"/>
    </row>
    <row r="137">
      <c r="A137">
        <f>IF($B137&lt;&gt;"","KB-"&amp;TEXT(ROW()-1,"000"),"")</f>
        <v/>
      </c>
      <c r="H137" s="12" t="n"/>
    </row>
    <row r="138">
      <c r="A138">
        <f>IF($B138&lt;&gt;"","KB-"&amp;TEXT(ROW()-1,"000"),"")</f>
        <v/>
      </c>
      <c r="H138" s="12" t="n"/>
    </row>
    <row r="139">
      <c r="A139">
        <f>IF($B139&lt;&gt;"","KB-"&amp;TEXT(ROW()-1,"000"),"")</f>
        <v/>
      </c>
      <c r="H139" s="12" t="n"/>
    </row>
    <row r="140">
      <c r="A140">
        <f>IF($B140&lt;&gt;"","KB-"&amp;TEXT(ROW()-1,"000"),"")</f>
        <v/>
      </c>
      <c r="H140" s="12" t="n"/>
    </row>
    <row r="141">
      <c r="A141">
        <f>IF($B141&lt;&gt;"","KB-"&amp;TEXT(ROW()-1,"000"),"")</f>
        <v/>
      </c>
      <c r="H141" s="12" t="n"/>
    </row>
    <row r="142">
      <c r="A142">
        <f>IF($B142&lt;&gt;"","KB-"&amp;TEXT(ROW()-1,"000"),"")</f>
        <v/>
      </c>
      <c r="H142" s="12" t="n"/>
    </row>
    <row r="143">
      <c r="A143">
        <f>IF($B143&lt;&gt;"","KB-"&amp;TEXT(ROW()-1,"000"),"")</f>
        <v/>
      </c>
      <c r="H143" s="12" t="n"/>
    </row>
    <row r="144">
      <c r="A144">
        <f>IF($B144&lt;&gt;"","KB-"&amp;TEXT(ROW()-1,"000"),"")</f>
        <v/>
      </c>
      <c r="H144" s="12" t="n"/>
    </row>
    <row r="145">
      <c r="A145">
        <f>IF($B145&lt;&gt;"","KB-"&amp;TEXT(ROW()-1,"000"),"")</f>
        <v/>
      </c>
      <c r="H145" s="12" t="n"/>
    </row>
    <row r="146">
      <c r="A146">
        <f>IF($B146&lt;&gt;"","KB-"&amp;TEXT(ROW()-1,"000"),"")</f>
        <v/>
      </c>
      <c r="H146" s="12" t="n"/>
    </row>
    <row r="147">
      <c r="A147">
        <f>IF($B147&lt;&gt;"","KB-"&amp;TEXT(ROW()-1,"000"),"")</f>
        <v/>
      </c>
      <c r="H147" s="12" t="n"/>
    </row>
    <row r="148">
      <c r="A148">
        <f>IF($B148&lt;&gt;"","KB-"&amp;TEXT(ROW()-1,"000"),"")</f>
        <v/>
      </c>
      <c r="H148" s="12" t="n"/>
    </row>
    <row r="149">
      <c r="A149">
        <f>IF($B149&lt;&gt;"","KB-"&amp;TEXT(ROW()-1,"000"),"")</f>
        <v/>
      </c>
      <c r="H149" s="12" t="n"/>
    </row>
    <row r="150">
      <c r="A150">
        <f>IF($B150&lt;&gt;"","KB-"&amp;TEXT(ROW()-1,"000"),"")</f>
        <v/>
      </c>
      <c r="H150" s="12" t="n"/>
    </row>
    <row r="151">
      <c r="A151">
        <f>IF($B151&lt;&gt;"","KB-"&amp;TEXT(ROW()-1,"000"),"")</f>
        <v/>
      </c>
      <c r="H151" s="12" t="n"/>
    </row>
    <row r="152">
      <c r="A152">
        <f>IF($B152&lt;&gt;"","KB-"&amp;TEXT(ROW()-1,"000"),"")</f>
        <v/>
      </c>
      <c r="H152" s="12" t="n"/>
    </row>
    <row r="153">
      <c r="A153">
        <f>IF($B153&lt;&gt;"","KB-"&amp;TEXT(ROW()-1,"000"),"")</f>
        <v/>
      </c>
      <c r="H153" s="12" t="n"/>
    </row>
    <row r="154">
      <c r="A154">
        <f>IF($B154&lt;&gt;"","KB-"&amp;TEXT(ROW()-1,"000"),"")</f>
        <v/>
      </c>
      <c r="H154" s="12" t="n"/>
    </row>
    <row r="155">
      <c r="A155">
        <f>IF($B155&lt;&gt;"","KB-"&amp;TEXT(ROW()-1,"000"),"")</f>
        <v/>
      </c>
      <c r="H155" s="12" t="n"/>
    </row>
    <row r="156">
      <c r="A156">
        <f>IF($B156&lt;&gt;"","KB-"&amp;TEXT(ROW()-1,"000"),"")</f>
        <v/>
      </c>
      <c r="H156" s="12" t="n"/>
    </row>
    <row r="157">
      <c r="A157">
        <f>IF($B157&lt;&gt;"","KB-"&amp;TEXT(ROW()-1,"000"),"")</f>
        <v/>
      </c>
      <c r="H157" s="12" t="n"/>
    </row>
    <row r="158">
      <c r="A158">
        <f>IF($B158&lt;&gt;"","KB-"&amp;TEXT(ROW()-1,"000"),"")</f>
        <v/>
      </c>
      <c r="H158" s="12" t="n"/>
    </row>
    <row r="159">
      <c r="A159">
        <f>IF($B159&lt;&gt;"","KB-"&amp;TEXT(ROW()-1,"000"),"")</f>
        <v/>
      </c>
      <c r="H159" s="12" t="n"/>
    </row>
    <row r="160">
      <c r="A160">
        <f>IF($B160&lt;&gt;"","KB-"&amp;TEXT(ROW()-1,"000"),"")</f>
        <v/>
      </c>
      <c r="H160" s="12" t="n"/>
    </row>
    <row r="161">
      <c r="A161">
        <f>IF($B161&lt;&gt;"","KB-"&amp;TEXT(ROW()-1,"000"),"")</f>
        <v/>
      </c>
      <c r="H161" s="12" t="n"/>
    </row>
    <row r="162">
      <c r="A162">
        <f>IF($B162&lt;&gt;"","KB-"&amp;TEXT(ROW()-1,"000"),"")</f>
        <v/>
      </c>
      <c r="H162" s="12" t="n"/>
    </row>
    <row r="163">
      <c r="A163">
        <f>IF($B163&lt;&gt;"","KB-"&amp;TEXT(ROW()-1,"000"),"")</f>
        <v/>
      </c>
      <c r="H163" s="12" t="n"/>
    </row>
    <row r="164">
      <c r="A164">
        <f>IF($B164&lt;&gt;"","KB-"&amp;TEXT(ROW()-1,"000"),"")</f>
        <v/>
      </c>
      <c r="H164" s="12" t="n"/>
    </row>
    <row r="165">
      <c r="A165">
        <f>IF($B165&lt;&gt;"","KB-"&amp;TEXT(ROW()-1,"000"),"")</f>
        <v/>
      </c>
      <c r="H165" s="12" t="n"/>
    </row>
    <row r="166">
      <c r="A166">
        <f>IF($B166&lt;&gt;"","KB-"&amp;TEXT(ROW()-1,"000"),"")</f>
        <v/>
      </c>
      <c r="H166" s="12" t="n"/>
    </row>
    <row r="167">
      <c r="A167">
        <f>IF($B167&lt;&gt;"","KB-"&amp;TEXT(ROW()-1,"000"),"")</f>
        <v/>
      </c>
      <c r="H167" s="12" t="n"/>
    </row>
    <row r="168">
      <c r="A168">
        <f>IF($B168&lt;&gt;"","KB-"&amp;TEXT(ROW()-1,"000"),"")</f>
        <v/>
      </c>
      <c r="H168" s="12" t="n"/>
    </row>
    <row r="169">
      <c r="A169">
        <f>IF($B169&lt;&gt;"","KB-"&amp;TEXT(ROW()-1,"000"),"")</f>
        <v/>
      </c>
      <c r="H169" s="12" t="n"/>
    </row>
    <row r="170">
      <c r="A170">
        <f>IF($B170&lt;&gt;"","KB-"&amp;TEXT(ROW()-1,"000"),"")</f>
        <v/>
      </c>
      <c r="H170" s="12" t="n"/>
    </row>
    <row r="171">
      <c r="A171">
        <f>IF($B171&lt;&gt;"","KB-"&amp;TEXT(ROW()-1,"000"),"")</f>
        <v/>
      </c>
      <c r="H171" s="12" t="n"/>
    </row>
    <row r="172">
      <c r="A172">
        <f>IF($B172&lt;&gt;"","KB-"&amp;TEXT(ROW()-1,"000"),"")</f>
        <v/>
      </c>
      <c r="H172" s="12" t="n"/>
    </row>
    <row r="173">
      <c r="A173">
        <f>IF($B173&lt;&gt;"","KB-"&amp;TEXT(ROW()-1,"000"),"")</f>
        <v/>
      </c>
      <c r="H173" s="12" t="n"/>
    </row>
    <row r="174">
      <c r="A174">
        <f>IF($B174&lt;&gt;"","KB-"&amp;TEXT(ROW()-1,"000"),"")</f>
        <v/>
      </c>
      <c r="H174" s="12" t="n"/>
    </row>
    <row r="175">
      <c r="A175">
        <f>IF($B175&lt;&gt;"","KB-"&amp;TEXT(ROW()-1,"000"),"")</f>
        <v/>
      </c>
      <c r="H175" s="12" t="n"/>
    </row>
    <row r="176">
      <c r="A176">
        <f>IF($B176&lt;&gt;"","KB-"&amp;TEXT(ROW()-1,"000"),"")</f>
        <v/>
      </c>
      <c r="H176" s="12" t="n"/>
    </row>
    <row r="177">
      <c r="A177">
        <f>IF($B177&lt;&gt;"","KB-"&amp;TEXT(ROW()-1,"000"),"")</f>
        <v/>
      </c>
      <c r="H177" s="12" t="n"/>
    </row>
    <row r="178">
      <c r="A178">
        <f>IF($B178&lt;&gt;"","KB-"&amp;TEXT(ROW()-1,"000"),"")</f>
        <v/>
      </c>
      <c r="H178" s="12" t="n"/>
    </row>
    <row r="179">
      <c r="A179">
        <f>IF($B179&lt;&gt;"","KB-"&amp;TEXT(ROW()-1,"000"),"")</f>
        <v/>
      </c>
      <c r="H179" s="12" t="n"/>
    </row>
    <row r="180">
      <c r="A180">
        <f>IF($B180&lt;&gt;"","KB-"&amp;TEXT(ROW()-1,"000"),"")</f>
        <v/>
      </c>
      <c r="H180" s="12" t="n"/>
    </row>
    <row r="181">
      <c r="A181">
        <f>IF($B181&lt;&gt;"","KB-"&amp;TEXT(ROW()-1,"000"),"")</f>
        <v/>
      </c>
      <c r="H181" s="12" t="n"/>
    </row>
    <row r="182">
      <c r="A182">
        <f>IF($B182&lt;&gt;"","KB-"&amp;TEXT(ROW()-1,"000"),"")</f>
        <v/>
      </c>
      <c r="H182" s="12" t="n"/>
    </row>
    <row r="183">
      <c r="A183">
        <f>IF($B183&lt;&gt;"","KB-"&amp;TEXT(ROW()-1,"000"),"")</f>
        <v/>
      </c>
      <c r="H183" s="12" t="n"/>
    </row>
    <row r="184">
      <c r="A184">
        <f>IF($B184&lt;&gt;"","KB-"&amp;TEXT(ROW()-1,"000"),"")</f>
        <v/>
      </c>
      <c r="H184" s="12" t="n"/>
    </row>
    <row r="185">
      <c r="A185">
        <f>IF($B185&lt;&gt;"","KB-"&amp;TEXT(ROW()-1,"000"),"")</f>
        <v/>
      </c>
      <c r="H185" s="12" t="n"/>
    </row>
    <row r="186">
      <c r="A186">
        <f>IF($B186&lt;&gt;"","KB-"&amp;TEXT(ROW()-1,"000"),"")</f>
        <v/>
      </c>
      <c r="H186" s="12" t="n"/>
    </row>
    <row r="187">
      <c r="A187">
        <f>IF($B187&lt;&gt;"","KB-"&amp;TEXT(ROW()-1,"000"),"")</f>
        <v/>
      </c>
      <c r="H187" s="12" t="n"/>
    </row>
    <row r="188">
      <c r="A188">
        <f>IF($B188&lt;&gt;"","KB-"&amp;TEXT(ROW()-1,"000"),"")</f>
        <v/>
      </c>
      <c r="H188" s="12" t="n"/>
    </row>
    <row r="189">
      <c r="A189">
        <f>IF($B189&lt;&gt;"","KB-"&amp;TEXT(ROW()-1,"000"),"")</f>
        <v/>
      </c>
      <c r="H189" s="12" t="n"/>
    </row>
    <row r="190">
      <c r="A190">
        <f>IF($B190&lt;&gt;"","KB-"&amp;TEXT(ROW()-1,"000"),"")</f>
        <v/>
      </c>
      <c r="H190" s="12" t="n"/>
    </row>
    <row r="191">
      <c r="A191">
        <f>IF($B191&lt;&gt;"","KB-"&amp;TEXT(ROW()-1,"000"),"")</f>
        <v/>
      </c>
      <c r="H191" s="12" t="n"/>
    </row>
    <row r="192">
      <c r="A192">
        <f>IF($B192&lt;&gt;"","KB-"&amp;TEXT(ROW()-1,"000"),"")</f>
        <v/>
      </c>
      <c r="H192" s="12" t="n"/>
    </row>
    <row r="193">
      <c r="A193">
        <f>IF($B193&lt;&gt;"","KB-"&amp;TEXT(ROW()-1,"000"),"")</f>
        <v/>
      </c>
      <c r="H193" s="12" t="n"/>
    </row>
    <row r="194">
      <c r="A194">
        <f>IF($B194&lt;&gt;"","KB-"&amp;TEXT(ROW()-1,"000"),"")</f>
        <v/>
      </c>
      <c r="H194" s="12" t="n"/>
    </row>
    <row r="195">
      <c r="A195">
        <f>IF($B195&lt;&gt;"","KB-"&amp;TEXT(ROW()-1,"000"),"")</f>
        <v/>
      </c>
      <c r="H195" s="12" t="n"/>
    </row>
    <row r="196">
      <c r="A196">
        <f>IF($B196&lt;&gt;"","KB-"&amp;TEXT(ROW()-1,"000"),"")</f>
        <v/>
      </c>
      <c r="H196" s="12" t="n"/>
    </row>
    <row r="197">
      <c r="A197">
        <f>IF($B197&lt;&gt;"","KB-"&amp;TEXT(ROW()-1,"000"),"")</f>
        <v/>
      </c>
      <c r="H197" s="12" t="n"/>
    </row>
    <row r="198">
      <c r="A198">
        <f>IF($B198&lt;&gt;"","KB-"&amp;TEXT(ROW()-1,"000"),"")</f>
        <v/>
      </c>
      <c r="H198" s="12" t="n"/>
    </row>
    <row r="199">
      <c r="A199">
        <f>IF($B199&lt;&gt;"","KB-"&amp;TEXT(ROW()-1,"000"),"")</f>
        <v/>
      </c>
      <c r="H199" s="12" t="n"/>
    </row>
    <row r="200">
      <c r="A200">
        <f>IF($B200&lt;&gt;"","KB-"&amp;TEXT(ROW()-1,"000"),"")</f>
        <v/>
      </c>
      <c r="H200" s="12" t="n"/>
    </row>
    <row r="201">
      <c r="A201">
        <f>IF($B201&lt;&gt;"","KB-"&amp;TEXT(ROW()-1,"000"),"")</f>
        <v/>
      </c>
      <c r="H201" s="12" t="n"/>
    </row>
    <row r="202">
      <c r="A202">
        <f>IF($B202&lt;&gt;"","KB-"&amp;TEXT(ROW()-1,"000"),"")</f>
        <v/>
      </c>
      <c r="H202" s="12" t="n"/>
    </row>
    <row r="203">
      <c r="A203">
        <f>IF($B203&lt;&gt;"","KB-"&amp;TEXT(ROW()-1,"000"),"")</f>
        <v/>
      </c>
      <c r="H203" s="12" t="n"/>
    </row>
    <row r="204">
      <c r="A204">
        <f>IF($B204&lt;&gt;"","KB-"&amp;TEXT(ROW()-1,"000"),"")</f>
        <v/>
      </c>
      <c r="H204" s="12" t="n"/>
    </row>
    <row r="205">
      <c r="A205">
        <f>IF($B205&lt;&gt;"","KB-"&amp;TEXT(ROW()-1,"000"),"")</f>
        <v/>
      </c>
      <c r="H205" s="12" t="n"/>
    </row>
    <row r="206">
      <c r="A206">
        <f>IF($B206&lt;&gt;"","KB-"&amp;TEXT(ROW()-1,"000"),"")</f>
        <v/>
      </c>
      <c r="H206" s="12" t="n"/>
    </row>
    <row r="207">
      <c r="A207">
        <f>IF($B207&lt;&gt;"","KB-"&amp;TEXT(ROW()-1,"000"),"")</f>
        <v/>
      </c>
      <c r="H207" s="12" t="n"/>
    </row>
    <row r="208">
      <c r="A208">
        <f>IF($B208&lt;&gt;"","KB-"&amp;TEXT(ROW()-1,"000"),"")</f>
        <v/>
      </c>
      <c r="H208" s="12" t="n"/>
    </row>
    <row r="209">
      <c r="A209">
        <f>IF($B209&lt;&gt;"","KB-"&amp;TEXT(ROW()-1,"000"),"")</f>
        <v/>
      </c>
      <c r="H209" s="12" t="n"/>
    </row>
    <row r="210">
      <c r="A210">
        <f>IF($B210&lt;&gt;"","KB-"&amp;TEXT(ROW()-1,"000"),"")</f>
        <v/>
      </c>
      <c r="H210" s="12" t="n"/>
    </row>
    <row r="211">
      <c r="A211">
        <f>IF($B211&lt;&gt;"","KB-"&amp;TEXT(ROW()-1,"000"),"")</f>
        <v/>
      </c>
      <c r="H211" s="12" t="n"/>
    </row>
    <row r="212">
      <c r="A212">
        <f>IF($B212&lt;&gt;"","KB-"&amp;TEXT(ROW()-1,"000"),"")</f>
        <v/>
      </c>
      <c r="H212" s="12" t="n"/>
    </row>
    <row r="213">
      <c r="A213">
        <f>IF($B213&lt;&gt;"","KB-"&amp;TEXT(ROW()-1,"000"),"")</f>
        <v/>
      </c>
      <c r="H213" s="12" t="n"/>
    </row>
    <row r="214">
      <c r="A214">
        <f>IF($B214&lt;&gt;"","KB-"&amp;TEXT(ROW()-1,"000"),"")</f>
        <v/>
      </c>
      <c r="H214" s="12" t="n"/>
    </row>
    <row r="215">
      <c r="A215">
        <f>IF($B215&lt;&gt;"","KB-"&amp;TEXT(ROW()-1,"000"),"")</f>
        <v/>
      </c>
      <c r="H215" s="12" t="n"/>
    </row>
    <row r="216">
      <c r="A216">
        <f>IF($B216&lt;&gt;"","KB-"&amp;TEXT(ROW()-1,"000"),"")</f>
        <v/>
      </c>
      <c r="H216" s="12" t="n"/>
    </row>
    <row r="217">
      <c r="A217">
        <f>IF($B217&lt;&gt;"","KB-"&amp;TEXT(ROW()-1,"000"),"")</f>
        <v/>
      </c>
      <c r="H217" s="12" t="n"/>
    </row>
    <row r="218">
      <c r="A218">
        <f>IF($B218&lt;&gt;"","KB-"&amp;TEXT(ROW()-1,"000"),"")</f>
        <v/>
      </c>
      <c r="H218" s="12" t="n"/>
    </row>
    <row r="219">
      <c r="A219">
        <f>IF($B219&lt;&gt;"","KB-"&amp;TEXT(ROW()-1,"000"),"")</f>
        <v/>
      </c>
      <c r="H219" s="12" t="n"/>
    </row>
    <row r="220">
      <c r="A220">
        <f>IF($B220&lt;&gt;"","KB-"&amp;TEXT(ROW()-1,"000"),"")</f>
        <v/>
      </c>
      <c r="H220" s="12" t="n"/>
    </row>
    <row r="221">
      <c r="A221">
        <f>IF($B221&lt;&gt;"","KB-"&amp;TEXT(ROW()-1,"000"),"")</f>
        <v/>
      </c>
      <c r="H221" s="12" t="n"/>
    </row>
    <row r="222">
      <c r="A222">
        <f>IF($B222&lt;&gt;"","KB-"&amp;TEXT(ROW()-1,"000"),"")</f>
        <v/>
      </c>
      <c r="H222" s="12" t="n"/>
    </row>
    <row r="223">
      <c r="A223">
        <f>IF($B223&lt;&gt;"","KB-"&amp;TEXT(ROW()-1,"000"),"")</f>
        <v/>
      </c>
      <c r="H223" s="12" t="n"/>
    </row>
    <row r="224">
      <c r="A224">
        <f>IF($B224&lt;&gt;"","KB-"&amp;TEXT(ROW()-1,"000"),"")</f>
        <v/>
      </c>
      <c r="H224" s="12" t="n"/>
    </row>
    <row r="225">
      <c r="A225">
        <f>IF($B225&lt;&gt;"","KB-"&amp;TEXT(ROW()-1,"000"),"")</f>
        <v/>
      </c>
      <c r="H225" s="12" t="n"/>
    </row>
    <row r="226">
      <c r="A226">
        <f>IF($B226&lt;&gt;"","KB-"&amp;TEXT(ROW()-1,"000"),"")</f>
        <v/>
      </c>
      <c r="H226" s="12" t="n"/>
    </row>
    <row r="227">
      <c r="A227">
        <f>IF($B227&lt;&gt;"","KB-"&amp;TEXT(ROW()-1,"000"),"")</f>
        <v/>
      </c>
      <c r="H227" s="12" t="n"/>
    </row>
    <row r="228">
      <c r="A228">
        <f>IF($B228&lt;&gt;"","KB-"&amp;TEXT(ROW()-1,"000"),"")</f>
        <v/>
      </c>
      <c r="H228" s="12" t="n"/>
    </row>
    <row r="229">
      <c r="A229">
        <f>IF($B229&lt;&gt;"","KB-"&amp;TEXT(ROW()-1,"000"),"")</f>
        <v/>
      </c>
      <c r="H229" s="12" t="n"/>
    </row>
    <row r="230">
      <c r="A230">
        <f>IF($B230&lt;&gt;"","KB-"&amp;TEXT(ROW()-1,"000"),"")</f>
        <v/>
      </c>
      <c r="H230" s="12" t="n"/>
    </row>
    <row r="231">
      <c r="A231">
        <f>IF($B231&lt;&gt;"","KB-"&amp;TEXT(ROW()-1,"000"),"")</f>
        <v/>
      </c>
      <c r="H231" s="12" t="n"/>
    </row>
    <row r="232">
      <c r="A232">
        <f>IF($B232&lt;&gt;"","KB-"&amp;TEXT(ROW()-1,"000"),"")</f>
        <v/>
      </c>
      <c r="H232" s="12" t="n"/>
    </row>
    <row r="233">
      <c r="A233">
        <f>IF($B233&lt;&gt;"","KB-"&amp;TEXT(ROW()-1,"000"),"")</f>
        <v/>
      </c>
      <c r="H233" s="12" t="n"/>
    </row>
    <row r="234">
      <c r="A234">
        <f>IF($B234&lt;&gt;"","KB-"&amp;TEXT(ROW()-1,"000"),"")</f>
        <v/>
      </c>
      <c r="H234" s="12" t="n"/>
    </row>
    <row r="235">
      <c r="A235">
        <f>IF($B235&lt;&gt;"","KB-"&amp;TEXT(ROW()-1,"000"),"")</f>
        <v/>
      </c>
      <c r="H235" s="12" t="n"/>
    </row>
    <row r="236">
      <c r="A236">
        <f>IF($B236&lt;&gt;"","KB-"&amp;TEXT(ROW()-1,"000"),"")</f>
        <v/>
      </c>
      <c r="H236" s="12" t="n"/>
    </row>
    <row r="237">
      <c r="A237">
        <f>IF($B237&lt;&gt;"","KB-"&amp;TEXT(ROW()-1,"000"),"")</f>
        <v/>
      </c>
      <c r="H237" s="12" t="n"/>
    </row>
    <row r="238">
      <c r="A238">
        <f>IF($B238&lt;&gt;"","KB-"&amp;TEXT(ROW()-1,"000"),"")</f>
        <v/>
      </c>
      <c r="H238" s="12" t="n"/>
    </row>
    <row r="239">
      <c r="A239">
        <f>IF($B239&lt;&gt;"","KB-"&amp;TEXT(ROW()-1,"000"),"")</f>
        <v/>
      </c>
      <c r="H239" s="12" t="n"/>
    </row>
    <row r="240">
      <c r="A240">
        <f>IF($B240&lt;&gt;"","KB-"&amp;TEXT(ROW()-1,"000"),"")</f>
        <v/>
      </c>
      <c r="H240" s="12" t="n"/>
    </row>
    <row r="241">
      <c r="A241">
        <f>IF($B241&lt;&gt;"","KB-"&amp;TEXT(ROW()-1,"000"),"")</f>
        <v/>
      </c>
      <c r="H241" s="12" t="n"/>
    </row>
    <row r="242">
      <c r="A242">
        <f>IF($B242&lt;&gt;"","KB-"&amp;TEXT(ROW()-1,"000"),"")</f>
        <v/>
      </c>
      <c r="H242" s="12" t="n"/>
    </row>
    <row r="243">
      <c r="A243">
        <f>IF($B243&lt;&gt;"","KB-"&amp;TEXT(ROW()-1,"000"),"")</f>
        <v/>
      </c>
      <c r="H243" s="12" t="n"/>
    </row>
    <row r="244">
      <c r="A244">
        <f>IF($B244&lt;&gt;"","KB-"&amp;TEXT(ROW()-1,"000"),"")</f>
        <v/>
      </c>
      <c r="H244" s="12" t="n"/>
    </row>
    <row r="245">
      <c r="A245">
        <f>IF($B245&lt;&gt;"","KB-"&amp;TEXT(ROW()-1,"000"),"")</f>
        <v/>
      </c>
      <c r="H245" s="12" t="n"/>
    </row>
    <row r="246">
      <c r="A246">
        <f>IF($B246&lt;&gt;"","KB-"&amp;TEXT(ROW()-1,"000"),"")</f>
        <v/>
      </c>
      <c r="H246" s="12" t="n"/>
    </row>
    <row r="247">
      <c r="A247">
        <f>IF($B247&lt;&gt;"","KB-"&amp;TEXT(ROW()-1,"000"),"")</f>
        <v/>
      </c>
      <c r="H247" s="12" t="n"/>
    </row>
    <row r="248">
      <c r="A248">
        <f>IF($B248&lt;&gt;"","KB-"&amp;TEXT(ROW()-1,"000"),"")</f>
        <v/>
      </c>
      <c r="H248" s="12" t="n"/>
    </row>
    <row r="249">
      <c r="A249">
        <f>IF($B249&lt;&gt;"","KB-"&amp;TEXT(ROW()-1,"000"),"")</f>
        <v/>
      </c>
      <c r="H249" s="12" t="n"/>
    </row>
    <row r="250">
      <c r="A250">
        <f>IF($B250&lt;&gt;"","KB-"&amp;TEXT(ROW()-1,"000"),"")</f>
        <v/>
      </c>
      <c r="H250" s="12" t="n"/>
    </row>
    <row r="251">
      <c r="A251">
        <f>IF($B251&lt;&gt;"","KB-"&amp;TEXT(ROW()-1,"000"),"")</f>
        <v/>
      </c>
      <c r="H251" s="12" t="n"/>
    </row>
    <row r="252">
      <c r="A252">
        <f>IF($B252&lt;&gt;"","KB-"&amp;TEXT(ROW()-1,"000"),"")</f>
        <v/>
      </c>
      <c r="H252" s="12" t="n"/>
    </row>
    <row r="253">
      <c r="A253">
        <f>IF($B253&lt;&gt;"","KB-"&amp;TEXT(ROW()-1,"000"),"")</f>
        <v/>
      </c>
      <c r="H253" s="12" t="n"/>
    </row>
    <row r="254">
      <c r="A254">
        <f>IF($B254&lt;&gt;"","KB-"&amp;TEXT(ROW()-1,"000"),"")</f>
        <v/>
      </c>
      <c r="H254" s="12" t="n"/>
    </row>
    <row r="255">
      <c r="A255">
        <f>IF($B255&lt;&gt;"","KB-"&amp;TEXT(ROW()-1,"000"),"")</f>
        <v/>
      </c>
      <c r="H255" s="12" t="n"/>
    </row>
    <row r="256">
      <c r="A256">
        <f>IF($B256&lt;&gt;"","KB-"&amp;TEXT(ROW()-1,"000"),"")</f>
        <v/>
      </c>
      <c r="H256" s="12" t="n"/>
    </row>
    <row r="257">
      <c r="A257">
        <f>IF($B257&lt;&gt;"","KB-"&amp;TEXT(ROW()-1,"000"),"")</f>
        <v/>
      </c>
      <c r="H257" s="12" t="n"/>
    </row>
    <row r="258">
      <c r="A258">
        <f>IF($B258&lt;&gt;"","KB-"&amp;TEXT(ROW()-1,"000"),"")</f>
        <v/>
      </c>
      <c r="H258" s="12" t="n"/>
    </row>
    <row r="259">
      <c r="A259">
        <f>IF($B259&lt;&gt;"","KB-"&amp;TEXT(ROW()-1,"000"),"")</f>
        <v/>
      </c>
      <c r="H259" s="12" t="n"/>
    </row>
    <row r="260">
      <c r="A260">
        <f>IF($B260&lt;&gt;"","KB-"&amp;TEXT(ROW()-1,"000"),"")</f>
        <v/>
      </c>
      <c r="H260" s="12" t="n"/>
    </row>
    <row r="261">
      <c r="A261">
        <f>IF($B261&lt;&gt;"","KB-"&amp;TEXT(ROW()-1,"000"),"")</f>
        <v/>
      </c>
      <c r="H261" s="12" t="n"/>
    </row>
    <row r="262">
      <c r="A262">
        <f>IF($B262&lt;&gt;"","KB-"&amp;TEXT(ROW()-1,"000"),"")</f>
        <v/>
      </c>
      <c r="H262" s="12" t="n"/>
    </row>
    <row r="263">
      <c r="A263">
        <f>IF($B263&lt;&gt;"","KB-"&amp;TEXT(ROW()-1,"000"),"")</f>
        <v/>
      </c>
      <c r="H263" s="12" t="n"/>
    </row>
    <row r="264">
      <c r="A264">
        <f>IF($B264&lt;&gt;"","KB-"&amp;TEXT(ROW()-1,"000"),"")</f>
        <v/>
      </c>
      <c r="H264" s="12" t="n"/>
    </row>
    <row r="265">
      <c r="A265">
        <f>IF($B265&lt;&gt;"","KB-"&amp;TEXT(ROW()-1,"000"),"")</f>
        <v/>
      </c>
      <c r="H265" s="12" t="n"/>
    </row>
    <row r="266">
      <c r="A266">
        <f>IF($B266&lt;&gt;"","KB-"&amp;TEXT(ROW()-1,"000"),"")</f>
        <v/>
      </c>
      <c r="H266" s="12" t="n"/>
    </row>
    <row r="267">
      <c r="A267">
        <f>IF($B267&lt;&gt;"","KB-"&amp;TEXT(ROW()-1,"000"),"")</f>
        <v/>
      </c>
      <c r="H267" s="12" t="n"/>
    </row>
    <row r="268">
      <c r="A268">
        <f>IF($B268&lt;&gt;"","KB-"&amp;TEXT(ROW()-1,"000"),"")</f>
        <v/>
      </c>
      <c r="H268" s="12" t="n"/>
    </row>
    <row r="269">
      <c r="A269">
        <f>IF($B269&lt;&gt;"","KB-"&amp;TEXT(ROW()-1,"000"),"")</f>
        <v/>
      </c>
      <c r="H269" s="12" t="n"/>
    </row>
    <row r="270">
      <c r="A270">
        <f>IF($B270&lt;&gt;"","KB-"&amp;TEXT(ROW()-1,"000"),"")</f>
        <v/>
      </c>
      <c r="H270" s="12" t="n"/>
    </row>
    <row r="271">
      <c r="A271">
        <f>IF($B271&lt;&gt;"","KB-"&amp;TEXT(ROW()-1,"000"),"")</f>
        <v/>
      </c>
      <c r="H271" s="12" t="n"/>
    </row>
    <row r="272">
      <c r="A272">
        <f>IF($B272&lt;&gt;"","KB-"&amp;TEXT(ROW()-1,"000"),"")</f>
        <v/>
      </c>
      <c r="H272" s="12" t="n"/>
    </row>
    <row r="273">
      <c r="A273">
        <f>IF($B273&lt;&gt;"","KB-"&amp;TEXT(ROW()-1,"000"),"")</f>
        <v/>
      </c>
      <c r="H273" s="12" t="n"/>
    </row>
    <row r="274">
      <c r="A274">
        <f>IF($B274&lt;&gt;"","KB-"&amp;TEXT(ROW()-1,"000"),"")</f>
        <v/>
      </c>
      <c r="H274" s="12" t="n"/>
    </row>
    <row r="275">
      <c r="A275">
        <f>IF($B275&lt;&gt;"","KB-"&amp;TEXT(ROW()-1,"000"),"")</f>
        <v/>
      </c>
      <c r="H275" s="12" t="n"/>
    </row>
    <row r="276">
      <c r="A276">
        <f>IF($B276&lt;&gt;"","KB-"&amp;TEXT(ROW()-1,"000"),"")</f>
        <v/>
      </c>
      <c r="H276" s="12" t="n"/>
    </row>
    <row r="277">
      <c r="A277">
        <f>IF($B277&lt;&gt;"","KB-"&amp;TEXT(ROW()-1,"000"),"")</f>
        <v/>
      </c>
      <c r="H277" s="12" t="n"/>
    </row>
    <row r="278">
      <c r="A278">
        <f>IF($B278&lt;&gt;"","KB-"&amp;TEXT(ROW()-1,"000"),"")</f>
        <v/>
      </c>
      <c r="H278" s="12" t="n"/>
    </row>
    <row r="279">
      <c r="A279">
        <f>IF($B279&lt;&gt;"","KB-"&amp;TEXT(ROW()-1,"000"),"")</f>
        <v/>
      </c>
      <c r="H279" s="12" t="n"/>
    </row>
    <row r="280">
      <c r="A280">
        <f>IF($B280&lt;&gt;"","KB-"&amp;TEXT(ROW()-1,"000"),"")</f>
        <v/>
      </c>
      <c r="H280" s="12" t="n"/>
    </row>
    <row r="281">
      <c r="A281">
        <f>IF($B281&lt;&gt;"","KB-"&amp;TEXT(ROW()-1,"000"),"")</f>
        <v/>
      </c>
      <c r="H281" s="12" t="n"/>
    </row>
    <row r="282">
      <c r="A282">
        <f>IF($B282&lt;&gt;"","KB-"&amp;TEXT(ROW()-1,"000"),"")</f>
        <v/>
      </c>
      <c r="H282" s="12" t="n"/>
    </row>
    <row r="283">
      <c r="A283">
        <f>IF($B283&lt;&gt;"","KB-"&amp;TEXT(ROW()-1,"000"),"")</f>
        <v/>
      </c>
      <c r="H283" s="12" t="n"/>
    </row>
    <row r="284">
      <c r="A284">
        <f>IF($B284&lt;&gt;"","KB-"&amp;TEXT(ROW()-1,"000"),"")</f>
        <v/>
      </c>
      <c r="H284" s="12" t="n"/>
    </row>
    <row r="285">
      <c r="A285">
        <f>IF($B285&lt;&gt;"","KB-"&amp;TEXT(ROW()-1,"000"),"")</f>
        <v/>
      </c>
      <c r="H285" s="12" t="n"/>
    </row>
    <row r="286">
      <c r="A286">
        <f>IF($B286&lt;&gt;"","KB-"&amp;TEXT(ROW()-1,"000"),"")</f>
        <v/>
      </c>
      <c r="H286" s="12" t="n"/>
    </row>
    <row r="287">
      <c r="A287">
        <f>IF($B287&lt;&gt;"","KB-"&amp;TEXT(ROW()-1,"000"),"")</f>
        <v/>
      </c>
      <c r="H287" s="12" t="n"/>
    </row>
    <row r="288">
      <c r="A288">
        <f>IF($B288&lt;&gt;"","KB-"&amp;TEXT(ROW()-1,"000"),"")</f>
        <v/>
      </c>
      <c r="H288" s="12" t="n"/>
    </row>
    <row r="289">
      <c r="A289">
        <f>IF($B289&lt;&gt;"","KB-"&amp;TEXT(ROW()-1,"000"),"")</f>
        <v/>
      </c>
      <c r="H289" s="12" t="n"/>
    </row>
    <row r="290">
      <c r="A290">
        <f>IF($B290&lt;&gt;"","KB-"&amp;TEXT(ROW()-1,"000"),"")</f>
        <v/>
      </c>
      <c r="H290" s="12" t="n"/>
    </row>
    <row r="291">
      <c r="A291">
        <f>IF($B291&lt;&gt;"","KB-"&amp;TEXT(ROW()-1,"000"),"")</f>
        <v/>
      </c>
      <c r="H291" s="12" t="n"/>
    </row>
    <row r="292">
      <c r="A292">
        <f>IF($B292&lt;&gt;"","KB-"&amp;TEXT(ROW()-1,"000"),"")</f>
        <v/>
      </c>
      <c r="H292" s="12" t="n"/>
    </row>
    <row r="293">
      <c r="A293">
        <f>IF($B293&lt;&gt;"","KB-"&amp;TEXT(ROW()-1,"000"),"")</f>
        <v/>
      </c>
      <c r="H293" s="12" t="n"/>
    </row>
    <row r="294">
      <c r="A294">
        <f>IF($B294&lt;&gt;"","KB-"&amp;TEXT(ROW()-1,"000"),"")</f>
        <v/>
      </c>
      <c r="H294" s="12" t="n"/>
    </row>
    <row r="295">
      <c r="A295">
        <f>IF($B295&lt;&gt;"","KB-"&amp;TEXT(ROW()-1,"000"),"")</f>
        <v/>
      </c>
      <c r="H295" s="12" t="n"/>
    </row>
    <row r="296">
      <c r="A296">
        <f>IF($B296&lt;&gt;"","KB-"&amp;TEXT(ROW()-1,"000"),"")</f>
        <v/>
      </c>
      <c r="H296" s="12" t="n"/>
    </row>
    <row r="297">
      <c r="A297">
        <f>IF($B297&lt;&gt;"","KB-"&amp;TEXT(ROW()-1,"000"),"")</f>
        <v/>
      </c>
      <c r="H297" s="12" t="n"/>
    </row>
    <row r="298">
      <c r="A298">
        <f>IF($B298&lt;&gt;"","KB-"&amp;TEXT(ROW()-1,"000"),"")</f>
        <v/>
      </c>
      <c r="H298" s="12" t="n"/>
    </row>
    <row r="299">
      <c r="A299">
        <f>IF($B299&lt;&gt;"","KB-"&amp;TEXT(ROW()-1,"000"),"")</f>
        <v/>
      </c>
      <c r="H299" s="12" t="n"/>
    </row>
    <row r="300">
      <c r="A300">
        <f>IF($B300&lt;&gt;"","KB-"&amp;TEXT(ROW()-1,"000"),"")</f>
        <v/>
      </c>
      <c r="H300" s="12" t="n"/>
    </row>
    <row r="301">
      <c r="A301">
        <f>IF($B301&lt;&gt;"","KB-"&amp;TEXT(ROW()-1,"000"),"")</f>
        <v/>
      </c>
      <c r="H301" s="12" t="n"/>
    </row>
  </sheetData>
  <dataValidations count="3">
    <dataValidation sqref="C2:C301" showDropDown="0" showInputMessage="0" showErrorMessage="0" allowBlank="1" type="list">
      <formula1>=Kategorier</formula1>
    </dataValidation>
    <dataValidation sqref="J2:J301" showDropDown="0" showInputMessage="0" showErrorMessage="0" allowBlank="1" type="list">
      <formula1>"1,2,3,4,5"</formula1>
    </dataValidation>
    <dataValidation sqref="H2:H301" showDropDown="0" showInputMessage="0" showErrorMessage="0" allowBlank="1" type="date" operator="greaterThan">
      <formula1>DATE(2020,1,1)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08080"/>
    <outlinePr summaryBelow="1" summaryRight="1"/>
    <pageSetUpPr/>
  </sheetPr>
  <dimension ref="A1:N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3" customWidth="1" min="4" max="4"/>
    <col width="22" customWidth="1" min="5" max="5"/>
    <col width="24" customWidth="1" min="6" max="6"/>
    <col width="3" customWidth="1" min="7" max="7"/>
    <col width="12" customWidth="1" min="8" max="8"/>
    <col width="22" customWidth="1" min="9" max="9"/>
    <col width="18" customWidth="1" min="10" max="10"/>
    <col width="3" customWidth="1" min="11" max="11"/>
    <col width="22" customWidth="1" min="12" max="12"/>
    <col width="3" customWidth="1" min="13" max="13"/>
    <col width="20" customWidth="1" min="14" max="14"/>
  </cols>
  <sheetData>
    <row r="1">
      <c r="A1" s="1" t="inlineStr">
        <is>
          <t>OPPSETT – grunndata for supportsystemet</t>
        </is>
      </c>
    </row>
    <row r="2">
      <c r="A2" s="2" t="inlineStr">
        <is>
          <t>Tilpass listene under til ditt team. Legger du til flere rader enn det er plass til, må områdene i formlene/navnene (Formler &gt; Navnebehandling) utvides tilsvarende.</t>
        </is>
      </c>
    </row>
    <row r="3">
      <c r="A3" s="13" t="inlineStr">
        <is>
          <t>Ansatt</t>
        </is>
      </c>
      <c r="B3" s="13" t="inlineStr">
        <is>
          <t>Rolle</t>
        </is>
      </c>
      <c r="C3" s="13" t="inlineStr">
        <is>
          <t>E-post</t>
        </is>
      </c>
      <c r="E3" s="13" t="inlineStr">
        <is>
          <t>Kategori</t>
        </is>
      </c>
      <c r="F3" s="13" t="inlineStr">
        <is>
          <t>Standard ansvarlig (auto)</t>
        </is>
      </c>
      <c r="H3" s="13" t="inlineStr">
        <is>
          <t>Prioritet</t>
        </is>
      </c>
      <c r="I3" s="13" t="inlineStr">
        <is>
          <t>Påbegynn innen (timer)</t>
        </is>
      </c>
      <c r="J3" s="13" t="inlineStr">
        <is>
          <t>Løs innen (timer)</t>
        </is>
      </c>
      <c r="L3" s="13" t="inlineStr">
        <is>
          <t>Status</t>
        </is>
      </c>
      <c r="N3" s="13" t="inlineStr">
        <is>
          <t>Kanal</t>
        </is>
      </c>
    </row>
    <row r="4">
      <c r="A4" s="7" t="inlineStr">
        <is>
          <t>Ola Nordmann</t>
        </is>
      </c>
      <c r="B4" s="7" t="inlineStr">
        <is>
          <t>Nettverksansvarlig</t>
        </is>
      </c>
      <c r="C4" s="7" t="inlineStr">
        <is>
          <t>ola.nordmann@firma.no</t>
        </is>
      </c>
      <c r="E4" s="7" t="inlineStr">
        <is>
          <t>Nettverk</t>
        </is>
      </c>
      <c r="F4" s="7" t="inlineStr">
        <is>
          <t>Ola Nordmann</t>
        </is>
      </c>
      <c r="H4" s="7" t="inlineStr">
        <is>
          <t>Kritisk</t>
        </is>
      </c>
      <c r="I4" s="7" t="n">
        <v>1</v>
      </c>
      <c r="J4" s="7" t="n">
        <v>4</v>
      </c>
      <c r="L4" s="7" t="inlineStr">
        <is>
          <t>Ny</t>
        </is>
      </c>
      <c r="N4" s="7" t="inlineStr">
        <is>
          <t>E-post</t>
        </is>
      </c>
    </row>
    <row r="5">
      <c r="A5" s="7" t="inlineStr">
        <is>
          <t>Kari Hansen</t>
        </is>
      </c>
      <c r="B5" s="7" t="inlineStr">
        <is>
          <t>Brukerstøtte</t>
        </is>
      </c>
      <c r="C5" s="7" t="inlineStr">
        <is>
          <t>kari.hansen@firma.no</t>
        </is>
      </c>
      <c r="E5" s="7" t="inlineStr">
        <is>
          <t>Passord og tilgang</t>
        </is>
      </c>
      <c r="F5" s="7" t="inlineStr">
        <is>
          <t>Kari Hansen</t>
        </is>
      </c>
      <c r="H5" s="7" t="inlineStr">
        <is>
          <t>Høy</t>
        </is>
      </c>
      <c r="I5" s="7" t="n">
        <v>4</v>
      </c>
      <c r="J5" s="7" t="n">
        <v>8</v>
      </c>
      <c r="L5" s="7" t="inlineStr">
        <is>
          <t>Under behandling</t>
        </is>
      </c>
      <c r="N5" s="7" t="inlineStr">
        <is>
          <t>Telefon</t>
        </is>
      </c>
    </row>
    <row r="6">
      <c r="A6" s="7" t="inlineStr">
        <is>
          <t>Per Olsen</t>
        </is>
      </c>
      <c r="B6" s="7" t="inlineStr">
        <is>
          <t>Maskinvareansvarlig</t>
        </is>
      </c>
      <c r="C6" s="7" t="inlineStr">
        <is>
          <t>per.olsen@firma.no</t>
        </is>
      </c>
      <c r="E6" s="7" t="inlineStr">
        <is>
          <t>E-post og kalender</t>
        </is>
      </c>
      <c r="F6" s="7" t="inlineStr">
        <is>
          <t>Anne Berg</t>
        </is>
      </c>
      <c r="H6" s="7" t="inlineStr">
        <is>
          <t>Medium</t>
        </is>
      </c>
      <c r="I6" s="7" t="n">
        <v>8</v>
      </c>
      <c r="J6" s="7" t="n">
        <v>24</v>
      </c>
      <c r="L6" s="7" t="inlineStr">
        <is>
          <t>Venter på bruker</t>
        </is>
      </c>
      <c r="N6" s="7" t="inlineStr">
        <is>
          <t>Personlig oppmøte</t>
        </is>
      </c>
    </row>
    <row r="7">
      <c r="A7" s="7" t="inlineStr">
        <is>
          <t>Anne Berg</t>
        </is>
      </c>
      <c r="B7" s="7" t="inlineStr">
        <is>
          <t>Systemansvarlig</t>
        </is>
      </c>
      <c r="C7" s="7" t="inlineStr">
        <is>
          <t>anne.berg@firma.no</t>
        </is>
      </c>
      <c r="E7" s="7" t="inlineStr">
        <is>
          <t>Maskinvare</t>
        </is>
      </c>
      <c r="F7" s="7" t="inlineStr">
        <is>
          <t>Per Olsen</t>
        </is>
      </c>
      <c r="H7" s="7" t="inlineStr">
        <is>
          <t>Lav</t>
        </is>
      </c>
      <c r="I7" s="7" t="n">
        <v>24</v>
      </c>
      <c r="J7" s="7" t="n">
        <v>72</v>
      </c>
      <c r="L7" s="7" t="inlineStr">
        <is>
          <t>Venter på leverandør</t>
        </is>
      </c>
      <c r="N7" s="7" t="inlineStr">
        <is>
          <t>Chat</t>
        </is>
      </c>
    </row>
    <row r="8">
      <c r="A8" s="7" t="inlineStr">
        <is>
          <t>Erik Dahl</t>
        </is>
      </c>
      <c r="B8" s="7" t="inlineStr">
        <is>
          <t>Driftstekniker</t>
        </is>
      </c>
      <c r="C8" s="7" t="inlineStr">
        <is>
          <t>erik.dahl@firma.no</t>
        </is>
      </c>
      <c r="E8" s="7" t="inlineStr">
        <is>
          <t>Programvare</t>
        </is>
      </c>
      <c r="F8" s="7" t="inlineStr">
        <is>
          <t>Anne Berg</t>
        </is>
      </c>
      <c r="L8" s="7" t="inlineStr">
        <is>
          <t>Løst</t>
        </is>
      </c>
      <c r="N8" s="7" t="inlineStr">
        <is>
          <t>Selvbetjening</t>
        </is>
      </c>
    </row>
    <row r="9">
      <c r="A9" s="7" t="inlineStr">
        <is>
          <t>Mona Lie</t>
        </is>
      </c>
      <c r="B9" s="7" t="inlineStr">
        <is>
          <t>Driftsleder</t>
        </is>
      </c>
      <c r="C9" s="7" t="inlineStr">
        <is>
          <t>mona.lie@firma.no</t>
        </is>
      </c>
      <c r="E9" s="7" t="inlineStr">
        <is>
          <t>Skriver og utskrift</t>
        </is>
      </c>
      <c r="F9" s="7" t="inlineStr">
        <is>
          <t>Erik Dahl</t>
        </is>
      </c>
      <c r="H9" s="2" t="inlineStr">
        <is>
          <t>Timer regnes fra sak opprettes (24/7).</t>
        </is>
      </c>
      <c r="L9" s="7" t="inlineStr">
        <is>
          <t>Lukket</t>
        </is>
      </c>
    </row>
    <row r="10">
      <c r="E10" s="7" t="inlineStr">
        <is>
          <t>Mobil og telefoni</t>
        </is>
      </c>
      <c r="F10" s="7" t="inlineStr">
        <is>
          <t>Erik Dahl</t>
        </is>
      </c>
    </row>
    <row r="11">
      <c r="E11" s="7" t="inlineStr">
        <is>
          <t>Annet</t>
        </is>
      </c>
      <c r="F11" s="7" t="inlineStr">
        <is>
          <t>Mona Lie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9E9B"/>
    <outlinePr summaryBelow="1" summaryRight="1"/>
    <pageSetUpPr/>
  </sheetPr>
  <dimension ref="A1:A50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Slik bruker du supportsystemet</t>
        </is>
      </c>
    </row>
    <row r="2" ht="30" customHeight="1">
      <c r="A2" s="9" t="inlineStr">
        <is>
          <t>Systemet dekker: ticket-håndtering med unike saksnumre, kunnskapsbase (FAQ), automatisk tildeling av saker per kategori og SLA-styring med tidsfrister.</t>
        </is>
      </c>
    </row>
    <row r="3">
      <c r="A3" s="9" t="inlineStr"/>
    </row>
    <row r="4">
      <c r="A4" s="6" t="inlineStr">
        <is>
          <t>1. Arkfanene</t>
        </is>
      </c>
    </row>
    <row r="5" ht="15" customHeight="1">
      <c r="A5" s="9" t="inlineStr">
        <is>
          <t>• Saker – her logger du alle saker (tickets). Hver rad = én sak med unikt saksnr (SAK-0001, SAK-0002, ...).</t>
        </is>
      </c>
    </row>
    <row r="6" ht="15" customHeight="1">
      <c r="A6" s="9" t="inlineStr">
        <is>
          <t>• Kunnskapsbase – ferdige løsningsartikler (FAQ) slik at brukere/drift kan løse kjente problemer raskt.</t>
        </is>
      </c>
    </row>
    <row r="7" ht="15" customHeight="1">
      <c r="A7" s="9" t="inlineStr">
        <is>
          <t>• Søk – søk i kunnskapsbasen og i tidligere løste saker for å finne løsningen før du starter.</t>
        </is>
      </c>
    </row>
    <row r="8" ht="15" customHeight="1">
      <c r="A8" s="9" t="inlineStr">
        <is>
          <t>• Dashboard – oversikt over åpne saker, forfalte frister, kategorier og belastning per ansatt.</t>
        </is>
      </c>
    </row>
    <row r="9" ht="15" customHeight="1">
      <c r="A9" s="9" t="inlineStr">
        <is>
          <t>• Oppsett – team, kategorier, SLA-tider, statuser og kanaler. Tilpass til din avdeling.</t>
        </is>
      </c>
    </row>
    <row r="10">
      <c r="A10" s="9" t="inlineStr"/>
    </row>
    <row r="11">
      <c r="A11" s="6" t="inlineStr">
        <is>
          <t>2. Registrere ny sak (ticket-håndtering)</t>
        </is>
      </c>
    </row>
    <row r="12" ht="15" customHeight="1">
      <c r="A12" s="9" t="inlineStr">
        <is>
          <t>1) Gå til Saker og fyll ut: Innmelder, E-post, Kanal, Kategori, Prioritet, Tittel, Beskrivelse.</t>
        </is>
      </c>
    </row>
    <row r="13" ht="15" customHeight="1">
      <c r="A13" s="9" t="inlineStr">
        <is>
          <t xml:space="preserve">   Kom saken inn på e-post eller telefon? Lim inn innholdet i Beskrivelse og velg riktig Kanal.</t>
        </is>
      </c>
    </row>
    <row r="14" ht="15" customHeight="1">
      <c r="A14" s="9" t="inlineStr">
        <is>
          <t>2) Opprettet (dato+klokkeslett) fylles automatisk idet du skriver Innmelder eller Tittel, og låses.</t>
        </is>
      </c>
    </row>
    <row r="15" ht="15" customHeight="1">
      <c r="A15" s="9" t="inlineStr">
        <is>
          <t xml:space="preserve">   Vil du overstyre (f.eks. sak som egentlig kom i går)? Skriv dato manuelt slik: 04.09.2026 09:30.</t>
        </is>
      </c>
    </row>
    <row r="16" ht="15" customHeight="1">
      <c r="A16" s="9" t="inlineStr">
        <is>
          <t xml:space="preserve">   NB: Overskriver du, forsvinner auto-formelen i den cellen – kopier formelen fra en tom rad for å få den tilbake.</t>
        </is>
      </c>
    </row>
    <row r="17" ht="15" customHeight="1">
      <c r="A17" s="9" t="inlineStr">
        <is>
          <t>3) Saksnr lages automatisk (SAK-0001 osv.) – bruk nummeret i all videre kommunikasjon.</t>
        </is>
      </c>
    </row>
    <row r="18">
      <c r="A18" s="9" t="inlineStr"/>
    </row>
    <row r="19">
      <c r="A19" s="6" t="inlineStr">
        <is>
          <t>3. Automatisk tildeling</t>
        </is>
      </c>
    </row>
    <row r="20" ht="15" customHeight="1">
      <c r="A20" s="9" t="inlineStr">
        <is>
          <t>• Kolonnen Auto-ansvarlig foreslår riktig person basert på Kategori (koblingen ligger i Oppsett-arket).</t>
        </is>
      </c>
    </row>
    <row r="21" ht="30" customHeight="1">
      <c r="A21" s="9" t="inlineStr">
        <is>
          <t>• Vil du overstyre? Velg en annen person i kolonnen Tildelt til. Kolonnen Ansvarlig viser hvem som faktisk eier saken.</t>
        </is>
      </c>
    </row>
    <row r="22">
      <c r="A22" s="9" t="inlineStr"/>
    </row>
    <row r="23">
      <c r="A23" s="6" t="inlineStr">
        <is>
          <t>4. Prioritet og SLA-styring</t>
        </is>
      </c>
    </row>
    <row r="24" ht="15" customHeight="1">
      <c r="A24" s="9" t="inlineStr">
        <is>
          <t>• SLA-tider (Oppsett): Kritisk = start 1t / løs 4t · Høy = 4t/8t · Medium = 8t/24t · Lav = 24t/72t.</t>
        </is>
      </c>
    </row>
    <row r="25" ht="15" customHeight="1">
      <c r="A25" s="9" t="inlineStr">
        <is>
          <t>• SLA start frist og SLA løsning frist regnes ut automatisk fra Opprettet + Prioritet.</t>
        </is>
      </c>
    </row>
    <row r="26" ht="15" customHeight="1">
      <c r="A26" s="9" t="inlineStr">
        <is>
          <t>• Fyll inn Påbegynt og Løst (dato+kl) etter hvert som du jobber med saken.</t>
        </is>
      </c>
    </row>
    <row r="27" ht="30" customHeight="1">
      <c r="A27" s="9" t="inlineStr">
        <is>
          <t>• Farger: RØD «FORFALT» = fristen er passert og saken må gripes nå. ORANSJE = løst/påbegynt for sent. GRØNN «OK» = innen frist.</t>
        </is>
      </c>
    </row>
    <row r="28" ht="15" customHeight="1">
      <c r="A28" s="9" t="inlineStr">
        <is>
          <t>• Forfalte saker telles også på Dashboard.</t>
        </is>
      </c>
    </row>
    <row r="29">
      <c r="A29" s="9" t="inlineStr"/>
    </row>
    <row r="30">
      <c r="A30" s="6" t="inlineStr">
        <is>
          <t>5. Løse saken og lagre løsningen</t>
        </is>
      </c>
    </row>
    <row r="31" ht="15" customHeight="1">
      <c r="A31" s="9" t="inlineStr">
        <is>
          <t>• Skriv alltid hva som var feilen og hvordan den ble løst i kolonnen Løsning.</t>
        </is>
      </c>
    </row>
    <row r="32" ht="15" customHeight="1">
      <c r="A32" s="9" t="inlineStr">
        <is>
          <t>• Sett Status = Løst når brukeren er fornøyd, og Lukket når saken er helt ferdig.</t>
        </is>
      </c>
    </row>
    <row r="33" ht="15" customHeight="1">
      <c r="A33" s="9" t="inlineStr">
        <is>
          <t>• Er løsningen beskrevet i en KB-artikkel? Skriv artikkelnummeret i KB-ref (f.eks. KB-001).</t>
        </is>
      </c>
    </row>
    <row r="34">
      <c r="A34" s="9" t="inlineStr"/>
    </row>
    <row r="35">
      <c r="A35" s="6" t="inlineStr">
        <is>
          <t>6. Bygge kunnskapsbasen (FAQ)</t>
        </is>
      </c>
    </row>
    <row r="36" ht="15" customHeight="1">
      <c r="A36" s="9" t="inlineStr">
        <is>
          <t>• Kan problemet ramme flere? Sett Til KB = Ja på saken, og opprett en artikkel i Kunnskapsbase.</t>
        </is>
      </c>
    </row>
    <row r="37" ht="15" customHeight="1">
      <c r="A37" s="9" t="inlineStr">
        <is>
          <t>• Kopier/utdyp løsningen, og fyll inn Nøkkelord – de gjør artikkelen søkbar (f.eks. «wifi trådløs nettverk»).</t>
        </is>
      </c>
    </row>
    <row r="38" ht="15" customHeight="1">
      <c r="A38" s="9" t="inlineStr">
        <is>
          <t>• KB-ID lages automatisk. Bruk Antall bruk og Vurdering for å se hvilke artikler som hjelper mest.</t>
        </is>
      </c>
    </row>
    <row r="39">
      <c r="A39" s="9" t="inlineStr"/>
    </row>
    <row r="40">
      <c r="A40" s="6" t="inlineStr">
        <is>
          <t>7. Finne løsninger på lignende saker</t>
        </is>
      </c>
    </row>
    <row r="41" ht="15" customHeight="1">
      <c r="A41" s="9" t="inlineStr">
        <is>
          <t>• Gå til Søk. Skriv søkeord i de gule feltene – resultatene kommer opp automatisk.</t>
        </is>
      </c>
    </row>
    <row r="42" ht="15" customHeight="1">
      <c r="A42" s="9" t="inlineStr">
        <is>
          <t>• Del 1 søker i kunnskapsbasen (kan avgrenses med kategori). Del 2 søker i løste saker.</t>
        </is>
      </c>
    </row>
    <row r="43" ht="15" customHeight="1">
      <c r="A43" s="9" t="inlineStr">
        <is>
          <t>• Fant du en løsning? Bruk KB-ref/Saksnr for å se hele saken/artikkelen.</t>
        </is>
      </c>
    </row>
    <row r="44">
      <c r="A44" s="9" t="inlineStr"/>
    </row>
    <row r="45">
      <c r="A45" s="6" t="inlineStr">
        <is>
          <t>8. Krav og tips</t>
        </is>
      </c>
    </row>
    <row r="46" ht="30" customHeight="1">
      <c r="A46" s="9" t="inlineStr">
        <is>
          <t>• Søkearket bruker funksjonene FILTER og HSTACK – det krever Microsoft 365. Resten av systemet virker i eldre Excel også.</t>
        </is>
      </c>
    </row>
    <row r="47" ht="15" customHeight="1">
      <c r="A47" s="9" t="inlineStr">
        <is>
          <t>• Bruk Excels innebygde filter (pilene i kolonneoverskriftene) på Saker/Kunnskapsbase for å sortere og filtrere.</t>
        </is>
      </c>
    </row>
    <row r="48" ht="30" customHeight="1">
      <c r="A48" s="9" t="inlineStr">
        <is>
          <t>• Skal flere jobbe i filen samtidig? Legg den på SharePoint/OneDrive og åpne i Excel med sameksistens (co-authoring).</t>
        </is>
      </c>
    </row>
    <row r="49" ht="15" customHeight="1">
      <c r="A49" s="9" t="inlineStr">
        <is>
          <t>• Arbeidsboken har iterativ beregning slått på – det trengs for at auto-tidsstempelet skal låse seg selv.</t>
        </is>
      </c>
    </row>
    <row r="50" ht="15" customHeight="1">
      <c r="A50" s="9" t="inlineStr">
        <is>
          <t>• Ta backup av filen jevnlig.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2026-09-04T07:02:49Z</dcterms:created>
  <dcterms:modified xsi:type="dcterms:W3CDTF">2026-09-04T07:02:49Z</dcterms:modified>
</cp:coreProperties>
</file>